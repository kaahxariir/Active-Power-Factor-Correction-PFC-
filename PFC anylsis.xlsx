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 files\Projects\PFC\"/>
    </mc:Choice>
  </mc:AlternateContent>
  <xr:revisionPtr revIDLastSave="0" documentId="13_ncr:1_{1D6735AC-D674-4917-A5F3-6FC911264C02}" xr6:coauthVersionLast="36" xr6:coauthVersionMax="36" xr10:uidLastSave="{00000000-0000-0000-0000-000000000000}"/>
  <bookViews>
    <workbookView xWindow="0" yWindow="0" windowWidth="23040" windowHeight="9060" activeTab="1" xr2:uid="{1C7FF5CA-B7C9-4E34-A5D4-B3F953FE7023}"/>
  </bookViews>
  <sheets>
    <sheet name="Switching Frequency" sheetId="1" r:id="rId1"/>
    <sheet name="Power Los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2" l="1"/>
  <c r="E4" i="2"/>
  <c r="E5" i="2"/>
  <c r="E6" i="2"/>
  <c r="E7" i="2"/>
  <c r="E8" i="2"/>
  <c r="E9" i="2"/>
  <c r="E10" i="2"/>
  <c r="E11" i="2"/>
  <c r="E12" i="2"/>
  <c r="E13" i="2"/>
  <c r="B4" i="2"/>
  <c r="B5" i="2"/>
  <c r="B6" i="2"/>
  <c r="B7" i="2"/>
  <c r="B8" i="2"/>
  <c r="B9" i="2"/>
  <c r="B10" i="2"/>
  <c r="B11" i="2"/>
  <c r="B12" i="2"/>
  <c r="B13" i="2"/>
  <c r="L10" i="2"/>
  <c r="L11" i="2" s="1"/>
  <c r="L9" i="2"/>
  <c r="C18" i="2"/>
  <c r="C19" i="2"/>
  <c r="C20" i="2"/>
  <c r="C21" i="2"/>
  <c r="C27" i="2"/>
  <c r="D5" i="2"/>
  <c r="D6" i="2"/>
  <c r="D7" i="2"/>
  <c r="D8" i="2"/>
  <c r="D9" i="2"/>
  <c r="D10" i="2"/>
  <c r="D11" i="2"/>
  <c r="D12" i="2"/>
  <c r="D13" i="2"/>
  <c r="D4" i="2"/>
  <c r="H27" i="2"/>
  <c r="D27" i="2" s="1"/>
  <c r="H19" i="2"/>
  <c r="D19" i="2" s="1"/>
  <c r="E19" i="2" s="1"/>
  <c r="I19" i="2" s="1"/>
  <c r="H20" i="2"/>
  <c r="D20" i="2" s="1"/>
  <c r="C6" i="2" s="1"/>
  <c r="H21" i="2"/>
  <c r="D21" i="2" s="1"/>
  <c r="E21" i="2" s="1"/>
  <c r="I21" i="2" s="1"/>
  <c r="H22" i="2"/>
  <c r="D22" i="2" s="1"/>
  <c r="E22" i="2" s="1"/>
  <c r="I22" i="2" s="1"/>
  <c r="H23" i="2"/>
  <c r="D23" i="2" s="1"/>
  <c r="E23" i="2" s="1"/>
  <c r="I23" i="2" s="1"/>
  <c r="H24" i="2"/>
  <c r="D24" i="2" s="1"/>
  <c r="H25" i="2"/>
  <c r="D25" i="2" s="1"/>
  <c r="H26" i="2"/>
  <c r="D26" i="2" s="1"/>
  <c r="H18" i="2"/>
  <c r="D18" i="2" s="1"/>
  <c r="H12" i="2"/>
  <c r="H13" i="2" s="1"/>
  <c r="C25" i="2" l="1"/>
  <c r="C24" i="2"/>
  <c r="C23" i="2"/>
  <c r="C26" i="2"/>
  <c r="C22" i="2"/>
  <c r="E24" i="2"/>
  <c r="I24" i="2" s="1"/>
  <c r="C10" i="2"/>
  <c r="E18" i="2"/>
  <c r="I18" i="2" s="1"/>
  <c r="C4" i="2"/>
  <c r="E26" i="2"/>
  <c r="I26" i="2" s="1"/>
  <c r="C12" i="2"/>
  <c r="C11" i="2"/>
  <c r="E25" i="2"/>
  <c r="I25" i="2" s="1"/>
  <c r="E27" i="2"/>
  <c r="I27" i="2" s="1"/>
  <c r="C13" i="2"/>
  <c r="E20" i="2"/>
  <c r="I20" i="2" s="1"/>
  <c r="C5" i="2"/>
  <c r="C9" i="2"/>
  <c r="C8" i="2"/>
  <c r="C7" i="2"/>
  <c r="B6" i="1"/>
</calcChain>
</file>

<file path=xl/sharedStrings.xml><?xml version="1.0" encoding="utf-8"?>
<sst xmlns="http://schemas.openxmlformats.org/spreadsheetml/2006/main" count="74" uniqueCount="58">
  <si>
    <t>Ftypical</t>
  </si>
  <si>
    <t>Rtypical</t>
  </si>
  <si>
    <t>Rint</t>
  </si>
  <si>
    <t>Fsw</t>
  </si>
  <si>
    <t>Rfreq</t>
  </si>
  <si>
    <t>Parameter</t>
  </si>
  <si>
    <t>Value</t>
  </si>
  <si>
    <t>Kohm</t>
  </si>
  <si>
    <t>Khertz</t>
  </si>
  <si>
    <t>VIN</t>
  </si>
  <si>
    <t>PF</t>
  </si>
  <si>
    <t>VOUT</t>
  </si>
  <si>
    <t>IOUT</t>
  </si>
  <si>
    <t>PIN</t>
  </si>
  <si>
    <t>POUT</t>
  </si>
  <si>
    <t>Eff</t>
  </si>
  <si>
    <t>Vrec</t>
  </si>
  <si>
    <t>Iout</t>
  </si>
  <si>
    <t>Vdrv</t>
  </si>
  <si>
    <t>Rdrv_H</t>
  </si>
  <si>
    <t>Rdrv_L</t>
  </si>
  <si>
    <t>Gate Charge</t>
  </si>
  <si>
    <t>V</t>
  </si>
  <si>
    <t>Ohm</t>
  </si>
  <si>
    <t>nC</t>
  </si>
  <si>
    <t>Trise</t>
  </si>
  <si>
    <t>Tfall</t>
  </si>
  <si>
    <t>nS</t>
  </si>
  <si>
    <t>Parameters</t>
  </si>
  <si>
    <t>Unit</t>
  </si>
  <si>
    <t xml:space="preserve">Mosfet </t>
  </si>
  <si>
    <t>Rectifier Diode</t>
  </si>
  <si>
    <t>Boost Diode</t>
  </si>
  <si>
    <t>İnductor</t>
  </si>
  <si>
    <t>Khz</t>
  </si>
  <si>
    <t>RecDiode_fv</t>
  </si>
  <si>
    <t>BSTDiode_fv</t>
  </si>
  <si>
    <t>IIN(RMS)</t>
  </si>
  <si>
    <t>IIN(AVR)</t>
  </si>
  <si>
    <t>Wire</t>
  </si>
  <si>
    <t>#AWG14</t>
  </si>
  <si>
    <t>-</t>
  </si>
  <si>
    <t>Wire Resistance</t>
  </si>
  <si>
    <t>mOhm/metre</t>
  </si>
  <si>
    <t>Total Turns</t>
  </si>
  <si>
    <t>Turn</t>
  </si>
  <si>
    <t>Pallel Turns</t>
  </si>
  <si>
    <t>Toriod Outer Diametre</t>
  </si>
  <si>
    <t>mm</t>
  </si>
  <si>
    <t>Toriod Outer Circumference</t>
  </si>
  <si>
    <t>Total Wire Lenght</t>
  </si>
  <si>
    <t>Total Wire Resistance</t>
  </si>
  <si>
    <t xml:space="preserve">mOhm </t>
  </si>
  <si>
    <t>Duty</t>
  </si>
  <si>
    <t>%</t>
  </si>
  <si>
    <t>TOTAL LOSS</t>
  </si>
  <si>
    <t>W</t>
  </si>
  <si>
    <t xml:space="preserve"> POWER LOSS ANYLSIS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</si>
</sst>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[Red]0.0"/>
    <numFmt numFmtId="165" formatCode="0.00;[Red]0.0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 Black"/>
      <family val="2"/>
      <charset val="162"/>
    </font>
    <font>
      <sz val="12"/>
      <color theme="1"/>
      <name val="Arial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1"/>
      <name val="Arial Narrow"/>
      <family val="2"/>
      <charset val="162"/>
    </font>
    <font>
      <b/>
      <sz val="14"/>
      <color theme="1"/>
      <name val="Arial"/>
      <family val="2"/>
      <charset val="162"/>
    </font>
    <font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/>
    <xf numFmtId="0" fontId="5" fillId="0" borderId="0" xfId="0" applyFont="1" applyAlignment="1">
      <alignment horizontal="center" vertical="top"/>
    </xf>
    <xf numFmtId="0" fontId="6" fillId="0" borderId="1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6" fillId="0" borderId="1" xfId="0" applyFont="1" applyBorder="1"/>
    <xf numFmtId="0" fontId="6" fillId="0" borderId="1" xfId="0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64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top"/>
    </xf>
    <xf numFmtId="164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 vertical="top"/>
    </xf>
    <xf numFmtId="0" fontId="6" fillId="2" borderId="0" xfId="0" applyFont="1" applyFill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62"/>
        <scheme val="minor"/>
      </font>
      <numFmt numFmtId="165" formatCode="0.00;[Red]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62"/>
        <scheme val="minor"/>
      </font>
      <numFmt numFmtId="165" formatCode="0.00;[Red]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  <numFmt numFmtId="165" formatCode="0.00;[Red]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62"/>
        <scheme val="minor"/>
      </font>
      <numFmt numFmtId="165" formatCode="0.00;[Red]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62"/>
        <scheme val="minor"/>
      </font>
      <numFmt numFmtId="165" formatCode="0.00;[Red]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6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  <numFmt numFmtId="165" formatCode="0.00;[Red]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  <numFmt numFmtId="165" formatCode="0.00;[Red]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charset val="16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  <numFmt numFmtId="165" formatCode="0.00;[Red]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charset val="16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92409106888145"/>
          <c:y val="7.4820052952459803E-2"/>
          <c:w val="0.86782762439051242"/>
          <c:h val="0.74630346206724163"/>
        </c:manualLayout>
      </c:layout>
      <c:lineChart>
        <c:grouping val="standard"/>
        <c:varyColors val="0"/>
        <c:ser>
          <c:idx val="0"/>
          <c:order val="0"/>
          <c:tx>
            <c:strRef>
              <c:f>'Power Loss'!$B$3</c:f>
              <c:strCache>
                <c:ptCount val="1"/>
                <c:pt idx="0">
                  <c:v>Mosfet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'Power Loss'!$A$4:$A$13</c:f>
              <c:numCache>
                <c:formatCode>General</c:formatCode>
                <c:ptCount val="10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  <c:pt idx="9">
                  <c:v>3.85</c:v>
                </c:pt>
              </c:numCache>
            </c:numRef>
          </c:cat>
          <c:val>
            <c:numRef>
              <c:f>'Power Loss'!$B$4:$B$13</c:f>
              <c:numCache>
                <c:formatCode>0.00;[Red]0.00</c:formatCode>
                <c:ptCount val="10"/>
                <c:pt idx="0">
                  <c:v>0.11150042231399399</c:v>
                </c:pt>
                <c:pt idx="1">
                  <c:v>0.22472749948441215</c:v>
                </c:pt>
                <c:pt idx="2">
                  <c:v>0.33988255675345924</c:v>
                </c:pt>
                <c:pt idx="3">
                  <c:v>0.45749863922073802</c:v>
                </c:pt>
                <c:pt idx="4">
                  <c:v>0.57744323484919824</c:v>
                </c:pt>
                <c:pt idx="5">
                  <c:v>0.70073995891202401</c:v>
                </c:pt>
                <c:pt idx="6">
                  <c:v>0.8256241695757357</c:v>
                </c:pt>
                <c:pt idx="7">
                  <c:v>0.95322344017529181</c:v>
                </c:pt>
                <c:pt idx="8">
                  <c:v>1.0858569707977159</c:v>
                </c:pt>
                <c:pt idx="9">
                  <c:v>1.1720918263057718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E-40A2-B769-822B780138DC}"/>
            </c:ext>
          </c:extLst>
        </c:ser>
        <c:ser>
          <c:idx val="1"/>
          <c:order val="1"/>
          <c:tx>
            <c:strRef>
              <c:f>'Power Loss'!$C$3</c:f>
              <c:strCache>
                <c:ptCount val="1"/>
                <c:pt idx="0">
                  <c:v>Rectifier Diode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'Power Loss'!$A$4:$A$13</c:f>
              <c:numCache>
                <c:formatCode>General</c:formatCode>
                <c:ptCount val="10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  <c:pt idx="9">
                  <c:v>3.85</c:v>
                </c:pt>
              </c:numCache>
            </c:numRef>
          </c:cat>
          <c:val>
            <c:numRef>
              <c:f>'Power Loss'!$C$4:$C$13</c:f>
              <c:numCache>
                <c:formatCode>0.00;[Red]0.00</c:formatCode>
                <c:ptCount val="10"/>
                <c:pt idx="0">
                  <c:v>1.3222168896006656</c:v>
                </c:pt>
                <c:pt idx="1">
                  <c:v>2.6705014251859835</c:v>
                </c:pt>
                <c:pt idx="2">
                  <c:v>4.0710936726502691</c:v>
                </c:pt>
                <c:pt idx="3">
                  <c:v>5.5854395710233726</c:v>
                </c:pt>
                <c:pt idx="4">
                  <c:v>7.1219800394639341</c:v>
                </c:pt>
                <c:pt idx="5">
                  <c:v>8.7923362456683058</c:v>
                </c:pt>
                <c:pt idx="6">
                  <c:v>10.355183759149767</c:v>
                </c:pt>
                <c:pt idx="7">
                  <c:v>11.952840681990017</c:v>
                </c:pt>
                <c:pt idx="8">
                  <c:v>13.751705792581431</c:v>
                </c:pt>
                <c:pt idx="9">
                  <c:v>15.001268459052783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0E-40A2-B769-822B780138DC}"/>
            </c:ext>
          </c:extLst>
        </c:ser>
        <c:ser>
          <c:idx val="2"/>
          <c:order val="2"/>
          <c:tx>
            <c:strRef>
              <c:f>'Power Loss'!$D$3</c:f>
              <c:strCache>
                <c:ptCount val="1"/>
                <c:pt idx="0">
                  <c:v>Boost Diode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'Power Loss'!$A$4:$A$13</c:f>
              <c:numCache>
                <c:formatCode>General</c:formatCode>
                <c:ptCount val="10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  <c:pt idx="9">
                  <c:v>3.85</c:v>
                </c:pt>
              </c:numCache>
            </c:numRef>
          </c:cat>
          <c:val>
            <c:numRef>
              <c:f>'Power Loss'!$D$4:$D$13</c:f>
              <c:numCache>
                <c:formatCode>0.00;[Red]0.00</c:formatCode>
                <c:ptCount val="10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  <c:pt idx="9">
                  <c:v>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0E-40A2-B769-822B780138DC}"/>
            </c:ext>
          </c:extLst>
        </c:ser>
        <c:ser>
          <c:idx val="3"/>
          <c:order val="3"/>
          <c:tx>
            <c:strRef>
              <c:f>'Power Loss'!$E$3</c:f>
              <c:strCache>
                <c:ptCount val="1"/>
                <c:pt idx="0">
                  <c:v>İnductor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'Power Loss'!$A$4:$A$13</c:f>
              <c:numCache>
                <c:formatCode>General</c:formatCode>
                <c:ptCount val="10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  <c:pt idx="9">
                  <c:v>3.85</c:v>
                </c:pt>
              </c:numCache>
            </c:numRef>
          </c:cat>
          <c:val>
            <c:numRef>
              <c:f>'Power Loss'!$E$4:$E$13</c:f>
              <c:numCache>
                <c:formatCode>0.00;[Red]0.00</c:formatCode>
                <c:ptCount val="10"/>
                <c:pt idx="0">
                  <c:v>3.6401091123970833E-3</c:v>
                </c:pt>
                <c:pt idx="1">
                  <c:v>1.4848911853226412E-2</c:v>
                </c:pt>
                <c:pt idx="2">
                  <c:v>3.4508906002659712E-2</c:v>
                </c:pt>
                <c:pt idx="3">
                  <c:v>6.4956664520846683E-2</c:v>
                </c:pt>
                <c:pt idx="4">
                  <c:v>0.10561132840937067</c:v>
                </c:pt>
                <c:pt idx="5">
                  <c:v>0.16095985715946351</c:v>
                </c:pt>
                <c:pt idx="6">
                  <c:v>0.22326704338336625</c:v>
                </c:pt>
                <c:pt idx="7">
                  <c:v>0.29747554083966948</c:v>
                </c:pt>
                <c:pt idx="8">
                  <c:v>0.39375143156636777</c:v>
                </c:pt>
                <c:pt idx="9">
                  <c:v>0.46855973708289411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0E-40A2-B769-822B780138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4367551"/>
        <c:axId val="192971775"/>
      </c:lineChart>
      <c:catAx>
        <c:axId val="52436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600" b="1" i="0">
                    <a:latin typeface="Arial" panose="020B0604020202020204" pitchFamily="34" charset="0"/>
                    <a:cs typeface="Arial" panose="020B0604020202020204" pitchFamily="34" charset="0"/>
                  </a:rPr>
                  <a:t>OUTPUT</a:t>
                </a:r>
                <a:r>
                  <a:rPr lang="tr-TR" sz="1600" b="1" i="0" baseline="0">
                    <a:latin typeface="Arial" panose="020B0604020202020204" pitchFamily="34" charset="0"/>
                    <a:cs typeface="Arial" panose="020B0604020202020204" pitchFamily="34" charset="0"/>
                  </a:rPr>
                  <a:t> CURRENT</a:t>
                </a:r>
              </a:p>
            </c:rich>
          </c:tx>
          <c:layout>
            <c:manualLayout>
              <c:xMode val="edge"/>
              <c:yMode val="edge"/>
              <c:x val="0.42507415500006829"/>
              <c:y val="0.89144181977252845"/>
            </c:manualLayout>
          </c:layout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2971775"/>
        <c:crosses val="autoZero"/>
        <c:auto val="1"/>
        <c:lblAlgn val="ctr"/>
        <c:lblOffset val="100"/>
        <c:noMultiLvlLbl val="0"/>
      </c:catAx>
      <c:valAx>
        <c:axId val="192971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400" b="1">
                    <a:latin typeface="Arial" panose="020B0604020202020204" pitchFamily="34" charset="0"/>
                    <a:cs typeface="Arial" panose="020B0604020202020204" pitchFamily="34" charset="0"/>
                  </a:rPr>
                  <a:t>POWER LOSS IN W</a:t>
                </a:r>
              </a:p>
              <a:p>
                <a:pPr>
                  <a:defRPr/>
                </a:pP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;[Red]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436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7576868463256"/>
          <c:y val="7.2334441887661208E-2"/>
          <c:w val="0.11834865631766238"/>
          <c:h val="0.22497234611251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1</xdr:row>
      <xdr:rowOff>167640</xdr:rowOff>
    </xdr:from>
    <xdr:to>
      <xdr:col>10</xdr:col>
      <xdr:colOff>553070</xdr:colOff>
      <xdr:row>5</xdr:row>
      <xdr:rowOff>32477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5C03B-A8F1-4E11-97DD-4922652B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" y="388620"/>
          <a:ext cx="4439270" cy="657317"/>
        </a:xfrm>
        <a:prstGeom prst="rect">
          <a:avLst/>
        </a:prstGeom>
        <a:solidFill>
          <a:srgbClr val="FFC000"/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498764</xdr:colOff>
      <xdr:row>0</xdr:row>
      <xdr:rowOff>0</xdr:rowOff>
    </xdr:from>
    <xdr:to>
      <xdr:col>21</xdr:col>
      <xdr:colOff>91440</xdr:colOff>
      <xdr:row>12</xdr:row>
      <xdr:rowOff>192483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5B331C-2381-4DF9-9413-46DC9C7D5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2044" y="0"/>
          <a:ext cx="4865716" cy="2996643"/>
        </a:xfrm>
        <a:prstGeom prst="rect">
          <a:avLst/>
        </a:prstGeom>
      </xdr:spPr>
    </xdr:pic>
    <xdr:clientData/>
  </xdr:twoCellAnchor>
  <xdr:twoCellAnchor>
    <xdr:from>
      <xdr:col>9</xdr:col>
      <xdr:colOff>544286</xdr:colOff>
      <xdr:row>14</xdr:row>
      <xdr:rowOff>179615</xdr:rowOff>
    </xdr:from>
    <xdr:to>
      <xdr:col>22</xdr:col>
      <xdr:colOff>263237</xdr:colOff>
      <xdr:row>35</xdr:row>
      <xdr:rowOff>166255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184D12-CDE2-485E-A82D-23DD6F5EE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94BFF-D673-4CA5-B443-76101CB066F8}" name="Table1" displayName="Table1" ref="A17:I27" totalsRowShown="0" headerRowDxfId="17" dataDxfId="18">
  <autoFilter ref="A17:I27" xr:uid="{E0911EA1-D351-42D0-890D-7A05B35BB7FE}"/>
  <tableColumns count="9">
    <tableColumn id="1" xr3:uid="{BA0D3F44-EF43-44D9-A342-03B095631348}" name="PF" dataDxfId="16"/>
    <tableColumn id="2" xr3:uid="{69D5656F-C770-4AA2-A940-B95B151DA054}" name="VIN" dataDxfId="15"/>
    <tableColumn id="9" xr3:uid="{7E0B2E61-BDE1-418C-8290-505D21743A59}" name="IIN(RMS)" dataDxfId="2">
      <calculatedColumnFormula>Table1[[#This Row],[POUT]]/(Table1[[#This Row],[VIN]]*Table1[[#This Row],[PF]])</calculatedColumnFormula>
    </tableColumn>
    <tableColumn id="3" xr3:uid="{FE63D43D-61F4-49E4-BA6C-BF26DC4BA646}" name="IIN(AVR)" dataDxfId="14">
      <calculatedColumnFormula>(((H18)/(A18*B18*0.95))*(2^(1/2))*2)/3.14</calculatedColumnFormula>
    </tableColumn>
    <tableColumn id="4" xr3:uid="{A3213763-D264-4AB6-9A20-CA3E0662CDBB}" name="PIN" dataDxfId="13">
      <calculatedColumnFormula>B18*D18</calculatedColumnFormula>
    </tableColumn>
    <tableColumn id="5" xr3:uid="{427A65EB-3ECD-4B34-939E-E2F45FD2A1C9}" name="VOUT" dataDxfId="11"/>
    <tableColumn id="6" xr3:uid="{F082A72C-CE7F-4DE3-ADED-663E4D50D5A3}" name="IOUT" dataDxfId="12"/>
    <tableColumn id="7" xr3:uid="{CA55708C-6663-4FEF-898E-DD912326AE68}" name="POUT" dataDxfId="20">
      <calculatedColumnFormula>F18*G18</calculatedColumnFormula>
    </tableColumn>
    <tableColumn id="8" xr3:uid="{69C12CC3-D1B0-4622-B304-72058EBC75FD}" name="Eff" dataDxfId="19">
      <calculatedColumnFormula>E18/H18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0292C9-232E-4F64-8122-DCC9BE437A9E}" name="Table3" displayName="Table3" ref="A3:E13" totalsRowShown="0" headerRowDxfId="10" dataDxfId="9" headerRowBorderDxfId="7" tableBorderDxfId="8" totalsRowBorderDxfId="6">
  <autoFilter ref="A3:E13" xr:uid="{9536D150-88F5-4CCA-9272-D9C2D3E8D5E4}"/>
  <tableColumns count="5">
    <tableColumn id="1" xr3:uid="{F430923D-28DE-486B-8AFA-DD43AC094CEE}" name="Iout" dataDxfId="5"/>
    <tableColumn id="2" xr3:uid="{A79F91EC-CF57-477A-9209-1F3C66D25E65}" name="Mosfet " dataDxfId="1">
      <calculatedColumnFormula>(0.5*$H$4*A4*($H$12+$H$13)*10^(-9)*$H$5*10^3)+((($H$14^1/2)*(D18))^2*0.19)</calculatedColumnFormula>
    </tableColumn>
    <tableColumn id="3" xr3:uid="{3BB42BC2-AE7D-4036-B4A3-522904ABEADF}" name="Rectifier Diode" dataDxfId="4">
      <calculatedColumnFormula>2*$H$7*D18</calculatedColumnFormula>
    </tableColumn>
    <tableColumn id="4" xr3:uid="{F7D22854-772F-4C3D-8085-729AF5F01A85}" name="Boost Diode" dataDxfId="3">
      <calculatedColumnFormula>$H$7*A4</calculatedColumnFormula>
    </tableColumn>
    <tableColumn id="5" xr3:uid="{C4B64F63-003B-4E79-8883-8A26227D57E6}" name="İnductor" dataDxfId="0">
      <calculatedColumnFormula>C18^2*$L$11*10^-3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4345-C051-4DE8-88E1-ADECF737E1E0}">
  <dimension ref="A1:C6"/>
  <sheetViews>
    <sheetView workbookViewId="0">
      <selection activeCell="E22" sqref="E22"/>
    </sheetView>
  </sheetViews>
  <sheetFormatPr defaultRowHeight="14.4" x14ac:dyDescent="0.3"/>
  <cols>
    <col min="1" max="1" width="12.6640625" customWidth="1"/>
  </cols>
  <sheetData>
    <row r="1" spans="1:3" ht="17.399999999999999" x14ac:dyDescent="0.45">
      <c r="A1" s="1" t="s">
        <v>5</v>
      </c>
      <c r="B1" s="1" t="s">
        <v>6</v>
      </c>
      <c r="C1" s="1"/>
    </row>
    <row r="2" spans="1:3" ht="15.6" x14ac:dyDescent="0.3">
      <c r="A2" s="2" t="s">
        <v>0</v>
      </c>
      <c r="B2" s="2">
        <v>65</v>
      </c>
      <c r="C2" s="2" t="s">
        <v>8</v>
      </c>
    </row>
    <row r="3" spans="1:3" ht="15.6" x14ac:dyDescent="0.3">
      <c r="A3" s="2" t="s">
        <v>1</v>
      </c>
      <c r="B3" s="2">
        <v>32.700000000000003</v>
      </c>
      <c r="C3" s="2" t="s">
        <v>7</v>
      </c>
    </row>
    <row r="4" spans="1:3" ht="15.6" x14ac:dyDescent="0.3">
      <c r="A4" s="2" t="s">
        <v>2</v>
      </c>
      <c r="B4" s="2">
        <v>1000</v>
      </c>
      <c r="C4" s="2" t="s">
        <v>7</v>
      </c>
    </row>
    <row r="5" spans="1:3" ht="15.6" x14ac:dyDescent="0.3">
      <c r="A5" s="2" t="s">
        <v>3</v>
      </c>
      <c r="B5" s="2">
        <v>45</v>
      </c>
      <c r="C5" s="2" t="s">
        <v>8</v>
      </c>
    </row>
    <row r="6" spans="1:3" ht="15.6" x14ac:dyDescent="0.3">
      <c r="A6" s="2" t="s">
        <v>4</v>
      </c>
      <c r="B6" s="2">
        <f>(B2*B3*B4)/((B5*B4)+(B5*B3)-(B2*B3))</f>
        <v>47.929914761196052</v>
      </c>
      <c r="C6" s="2" t="s">
        <v>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5CA2-98CE-4C07-B5E2-7790A106D545}">
  <dimension ref="A1:M27"/>
  <sheetViews>
    <sheetView tabSelected="1" zoomScale="55" zoomScaleNormal="55" workbookViewId="0">
      <selection activeCell="E38" sqref="E38"/>
    </sheetView>
  </sheetViews>
  <sheetFormatPr defaultRowHeight="14.4" x14ac:dyDescent="0.3"/>
  <cols>
    <col min="1" max="1" width="20.6640625" customWidth="1"/>
    <col min="2" max="2" width="22.77734375" customWidth="1"/>
    <col min="3" max="3" width="26.88671875" customWidth="1"/>
    <col min="4" max="4" width="24.33203125" customWidth="1"/>
    <col min="5" max="5" width="18" customWidth="1"/>
    <col min="6" max="6" width="16.5546875" customWidth="1"/>
    <col min="7" max="7" width="22.33203125" customWidth="1"/>
    <col min="8" max="8" width="17.44140625" customWidth="1"/>
    <col min="9" max="9" width="16.88671875" customWidth="1"/>
    <col min="11" max="11" width="16.88671875" customWidth="1"/>
    <col min="12" max="12" width="11.88671875" customWidth="1"/>
    <col min="13" max="13" width="12.109375" customWidth="1"/>
    <col min="15" max="15" width="3.6640625" customWidth="1"/>
    <col min="16" max="16" width="20.109375" customWidth="1"/>
  </cols>
  <sheetData>
    <row r="1" spans="1:13" ht="14.4" customHeight="1" x14ac:dyDescent="0.3">
      <c r="A1" s="3" t="s">
        <v>57</v>
      </c>
      <c r="B1" s="3"/>
      <c r="C1" s="3"/>
      <c r="D1" s="3"/>
      <c r="E1" s="3"/>
      <c r="F1" s="9"/>
      <c r="G1" s="9"/>
      <c r="H1" s="9"/>
      <c r="I1" s="9"/>
      <c r="J1" s="9"/>
    </row>
    <row r="2" spans="1:13" x14ac:dyDescent="0.3">
      <c r="A2" s="10"/>
      <c r="B2" s="10"/>
      <c r="C2" s="10"/>
      <c r="D2" s="10"/>
      <c r="E2" s="10"/>
    </row>
    <row r="3" spans="1:13" ht="18" x14ac:dyDescent="0.3">
      <c r="A3" s="15" t="s">
        <v>17</v>
      </c>
      <c r="B3" s="16" t="s">
        <v>30</v>
      </c>
      <c r="C3" s="16" t="s">
        <v>31</v>
      </c>
      <c r="D3" s="16" t="s">
        <v>32</v>
      </c>
      <c r="E3" s="17" t="s">
        <v>33</v>
      </c>
      <c r="G3" s="22" t="s">
        <v>28</v>
      </c>
      <c r="H3" s="22" t="s">
        <v>6</v>
      </c>
      <c r="I3" s="22" t="s">
        <v>29</v>
      </c>
      <c r="K3" s="22" t="s">
        <v>28</v>
      </c>
      <c r="L3" s="22" t="s">
        <v>6</v>
      </c>
      <c r="M3" s="22" t="s">
        <v>29</v>
      </c>
    </row>
    <row r="4" spans="1:13" ht="18" x14ac:dyDescent="0.35">
      <c r="A4" s="13">
        <v>0.4</v>
      </c>
      <c r="B4" s="8">
        <f>(0.5*$H$4*A4*($H$12+$H$13)*10^(-9)*$H$5*10^3)+((($H$14^1/2)*(D18))^2*0.19)</f>
        <v>0.11150042231399399</v>
      </c>
      <c r="C4" s="8">
        <f>2*$H$7*D18</f>
        <v>1.3222168896006656</v>
      </c>
      <c r="D4" s="8">
        <f>$H$7*A4</f>
        <v>0.4</v>
      </c>
      <c r="E4" s="14">
        <f t="shared" ref="E4:E13" si="0">C18^2*$L$11*10^-3</f>
        <v>3.6401091123970833E-3</v>
      </c>
      <c r="G4" s="23" t="s">
        <v>16</v>
      </c>
      <c r="H4" s="12">
        <v>310</v>
      </c>
      <c r="I4" s="24" t="s">
        <v>22</v>
      </c>
      <c r="K4" s="23" t="s">
        <v>39</v>
      </c>
      <c r="L4" s="12" t="s">
        <v>40</v>
      </c>
      <c r="M4" s="24" t="s">
        <v>41</v>
      </c>
    </row>
    <row r="5" spans="1:13" ht="18" x14ac:dyDescent="0.35">
      <c r="A5" s="13">
        <v>0.8</v>
      </c>
      <c r="B5" s="8">
        <f t="shared" ref="B4:B13" si="1">(0.5*$H$4*A5*($H$12+$H$13)*10^(-9)*$H$5*10^3)+((($H$14^1/2)*(D19))^2*0.19)</f>
        <v>0.22472749948441215</v>
      </c>
      <c r="C5" s="8">
        <f>2*$H$7*D19</f>
        <v>2.6705014251859835</v>
      </c>
      <c r="D5" s="8">
        <f>$H$7*A5</f>
        <v>0.8</v>
      </c>
      <c r="E5" s="14">
        <f t="shared" si="0"/>
        <v>1.4848911853226412E-2</v>
      </c>
      <c r="G5" s="23" t="s">
        <v>3</v>
      </c>
      <c r="H5" s="7">
        <v>85</v>
      </c>
      <c r="I5" s="24" t="s">
        <v>34</v>
      </c>
      <c r="K5" s="23" t="s">
        <v>42</v>
      </c>
      <c r="L5" s="7">
        <v>8.2799999999999994</v>
      </c>
      <c r="M5" s="24" t="s">
        <v>43</v>
      </c>
    </row>
    <row r="6" spans="1:13" ht="18" x14ac:dyDescent="0.35">
      <c r="A6" s="13">
        <v>1.2</v>
      </c>
      <c r="B6" s="8">
        <f t="shared" si="1"/>
        <v>0.33988255675345924</v>
      </c>
      <c r="C6" s="8">
        <f>2*$H$7*D20</f>
        <v>4.0710936726502691</v>
      </c>
      <c r="D6" s="8">
        <f>$H$7*A6</f>
        <v>1.2</v>
      </c>
      <c r="E6" s="14">
        <f t="shared" si="0"/>
        <v>3.4508906002659712E-2</v>
      </c>
      <c r="G6" s="23" t="s">
        <v>35</v>
      </c>
      <c r="H6" s="12">
        <v>0.9</v>
      </c>
      <c r="I6" s="24" t="s">
        <v>22</v>
      </c>
      <c r="K6" s="23" t="s">
        <v>44</v>
      </c>
      <c r="L6" s="12">
        <v>40</v>
      </c>
      <c r="M6" s="24" t="s">
        <v>45</v>
      </c>
    </row>
    <row r="7" spans="1:13" ht="18" x14ac:dyDescent="0.35">
      <c r="A7" s="13">
        <v>1.6</v>
      </c>
      <c r="B7" s="8">
        <f t="shared" si="1"/>
        <v>0.45749863922073802</v>
      </c>
      <c r="C7" s="8">
        <f>2*$H$7*D21</f>
        <v>5.5854395710233726</v>
      </c>
      <c r="D7" s="8">
        <f>$H$7*A7</f>
        <v>1.6</v>
      </c>
      <c r="E7" s="14">
        <f t="shared" si="0"/>
        <v>6.4956664520846683E-2</v>
      </c>
      <c r="G7" s="23" t="s">
        <v>36</v>
      </c>
      <c r="H7" s="12">
        <v>1</v>
      </c>
      <c r="I7" s="24" t="s">
        <v>22</v>
      </c>
      <c r="K7" s="23" t="s">
        <v>46</v>
      </c>
      <c r="L7" s="12">
        <v>3</v>
      </c>
      <c r="M7" s="24" t="s">
        <v>45</v>
      </c>
    </row>
    <row r="8" spans="1:13" ht="18" x14ac:dyDescent="0.35">
      <c r="A8" s="13">
        <v>2</v>
      </c>
      <c r="B8" s="8">
        <f t="shared" si="1"/>
        <v>0.57744323484919824</v>
      </c>
      <c r="C8" s="8">
        <f>2*$H$7*D22</f>
        <v>7.1219800394639341</v>
      </c>
      <c r="D8" s="8">
        <f>$H$7*A8</f>
        <v>2</v>
      </c>
      <c r="E8" s="14">
        <f t="shared" si="0"/>
        <v>0.10561132840937067</v>
      </c>
      <c r="G8" s="23" t="s">
        <v>18</v>
      </c>
      <c r="H8" s="12">
        <v>12</v>
      </c>
      <c r="I8" s="24" t="s">
        <v>22</v>
      </c>
      <c r="K8" s="23" t="s">
        <v>47</v>
      </c>
      <c r="L8" s="12">
        <v>21.6</v>
      </c>
      <c r="M8" s="24" t="s">
        <v>48</v>
      </c>
    </row>
    <row r="9" spans="1:13" ht="18" x14ac:dyDescent="0.35">
      <c r="A9" s="13">
        <v>2.4</v>
      </c>
      <c r="B9" s="8">
        <f t="shared" si="1"/>
        <v>0.70073995891202401</v>
      </c>
      <c r="C9" s="8">
        <f>2*$H$7*D23</f>
        <v>8.7923362456683058</v>
      </c>
      <c r="D9" s="8">
        <f>$H$7*A9</f>
        <v>2.4</v>
      </c>
      <c r="E9" s="14">
        <f t="shared" si="0"/>
        <v>0.16095985715946351</v>
      </c>
      <c r="G9" s="23" t="s">
        <v>19</v>
      </c>
      <c r="H9" s="12">
        <v>3.3</v>
      </c>
      <c r="I9" s="24" t="s">
        <v>23</v>
      </c>
      <c r="K9" s="23" t="s">
        <v>49</v>
      </c>
      <c r="L9" s="26">
        <f>3.14*L8</f>
        <v>67.824000000000012</v>
      </c>
      <c r="M9" s="24" t="s">
        <v>48</v>
      </c>
    </row>
    <row r="10" spans="1:13" ht="18" x14ac:dyDescent="0.35">
      <c r="A10" s="13">
        <v>2.8</v>
      </c>
      <c r="B10" s="8">
        <f t="shared" si="1"/>
        <v>0.8256241695757357</v>
      </c>
      <c r="C10" s="8">
        <f>2*$H$7*D24</f>
        <v>10.355183759149767</v>
      </c>
      <c r="D10" s="8">
        <f>$H$7*A10</f>
        <v>2.8</v>
      </c>
      <c r="E10" s="14">
        <f t="shared" si="0"/>
        <v>0.22326704338336625</v>
      </c>
      <c r="G10" s="23" t="s">
        <v>20</v>
      </c>
      <c r="H10" s="12">
        <v>3.9</v>
      </c>
      <c r="I10" s="24" t="s">
        <v>23</v>
      </c>
      <c r="K10" s="23" t="s">
        <v>50</v>
      </c>
      <c r="L10" s="8">
        <f>(L9*L6)</f>
        <v>2712.9600000000005</v>
      </c>
      <c r="M10" s="24" t="s">
        <v>48</v>
      </c>
    </row>
    <row r="11" spans="1:13" ht="18" x14ac:dyDescent="0.35">
      <c r="A11" s="13">
        <v>3.2</v>
      </c>
      <c r="B11" s="8">
        <f t="shared" si="1"/>
        <v>0.95322344017529181</v>
      </c>
      <c r="C11" s="8">
        <f>2*$H$7*D25</f>
        <v>11.952840681990017</v>
      </c>
      <c r="D11" s="8">
        <f>$H$7*A11</f>
        <v>3.2</v>
      </c>
      <c r="E11" s="14">
        <f t="shared" si="0"/>
        <v>0.29747554083966948</v>
      </c>
      <c r="G11" s="23" t="s">
        <v>21</v>
      </c>
      <c r="H11" s="12">
        <v>35</v>
      </c>
      <c r="I11" s="24" t="s">
        <v>24</v>
      </c>
      <c r="K11" s="23" t="s">
        <v>51</v>
      </c>
      <c r="L11" s="8">
        <f>(L10/1000)*L5/L7</f>
        <v>7.4877696000000009</v>
      </c>
      <c r="M11" s="24" t="s">
        <v>52</v>
      </c>
    </row>
    <row r="12" spans="1:13" ht="18" x14ac:dyDescent="0.35">
      <c r="A12" s="13">
        <v>3.6</v>
      </c>
      <c r="B12" s="8">
        <f t="shared" si="1"/>
        <v>1.0858569707977159</v>
      </c>
      <c r="C12" s="8">
        <f>2*$H$7*D26</f>
        <v>13.751705792581431</v>
      </c>
      <c r="D12" s="8">
        <f>$H$7*A12</f>
        <v>3.6</v>
      </c>
      <c r="E12" s="14">
        <f t="shared" si="0"/>
        <v>0.39375143156636777</v>
      </c>
      <c r="G12" s="23" t="s">
        <v>25</v>
      </c>
      <c r="H12" s="25">
        <f>(H11*H9)/H8</f>
        <v>9.625</v>
      </c>
      <c r="I12" s="24" t="s">
        <v>27</v>
      </c>
      <c r="K12" s="27"/>
      <c r="L12" s="28"/>
      <c r="M12" s="29"/>
    </row>
    <row r="13" spans="1:13" ht="18" x14ac:dyDescent="0.35">
      <c r="A13" s="18">
        <v>3.85</v>
      </c>
      <c r="B13" s="11">
        <f t="shared" si="1"/>
        <v>1.1720918263057718</v>
      </c>
      <c r="C13" s="11">
        <f>2*$H$7*D27</f>
        <v>15.001268459052783</v>
      </c>
      <c r="D13" s="11">
        <f>$H$7*A13</f>
        <v>3.85</v>
      </c>
      <c r="E13" s="19">
        <f t="shared" si="0"/>
        <v>0.46855973708289411</v>
      </c>
      <c r="G13" s="23" t="s">
        <v>26</v>
      </c>
      <c r="H13" s="25">
        <f>(H12*H10)/H9</f>
        <v>11.375000000000002</v>
      </c>
      <c r="I13" s="24" t="s">
        <v>27</v>
      </c>
      <c r="K13" s="32" t="s">
        <v>55</v>
      </c>
      <c r="L13" s="30">
        <f>Table3[[#This Row],[Mosfet ]]+Table3[[#This Row],[Rectifier Diode]]+Table3[[#This Row],[Boost Diode]]+Table3[[#This Row],[İnductor]]</f>
        <v>20.491920022441452</v>
      </c>
      <c r="M13" s="31" t="s">
        <v>56</v>
      </c>
    </row>
    <row r="14" spans="1:13" ht="18" x14ac:dyDescent="0.35">
      <c r="G14" s="23" t="s">
        <v>53</v>
      </c>
      <c r="H14" s="25">
        <v>0.2</v>
      </c>
      <c r="I14" s="24" t="s">
        <v>54</v>
      </c>
    </row>
    <row r="17" spans="1:9" ht="17.399999999999999" x14ac:dyDescent="0.3">
      <c r="A17" s="6" t="s">
        <v>10</v>
      </c>
      <c r="B17" s="6" t="s">
        <v>9</v>
      </c>
      <c r="C17" s="6" t="s">
        <v>37</v>
      </c>
      <c r="D17" s="6" t="s">
        <v>38</v>
      </c>
      <c r="E17" s="6" t="s">
        <v>13</v>
      </c>
      <c r="F17" s="6" t="s">
        <v>11</v>
      </c>
      <c r="G17" s="6" t="s">
        <v>12</v>
      </c>
      <c r="H17" s="6" t="s">
        <v>14</v>
      </c>
      <c r="I17" s="6" t="s">
        <v>15</v>
      </c>
    </row>
    <row r="18" spans="1:9" x14ac:dyDescent="0.3">
      <c r="A18" s="20">
        <v>0.99</v>
      </c>
      <c r="B18" s="20">
        <v>226</v>
      </c>
      <c r="C18" s="21">
        <f>Table1[[#This Row],[POUT]]/(Table1[[#This Row],[VIN]]*Table1[[#This Row],[PF]])</f>
        <v>0.69723786537945831</v>
      </c>
      <c r="D18" s="21">
        <f>(((H18)/(A18*B18*0.95))*(2^(1/2))*2)/3.14</f>
        <v>0.66110844480033282</v>
      </c>
      <c r="E18" s="21">
        <f>B18*D18</f>
        <v>149.41050852487521</v>
      </c>
      <c r="F18" s="20">
        <v>390</v>
      </c>
      <c r="G18" s="4">
        <v>0.4</v>
      </c>
      <c r="H18" s="4">
        <f>F18*G18</f>
        <v>156</v>
      </c>
      <c r="I18" s="5">
        <f>E18/H18</f>
        <v>0.9577596700312514</v>
      </c>
    </row>
    <row r="19" spans="1:9" x14ac:dyDescent="0.3">
      <c r="A19" s="20">
        <v>0.998</v>
      </c>
      <c r="B19" s="20">
        <v>222</v>
      </c>
      <c r="C19" s="21">
        <f>Table1[[#This Row],[POUT]]/(Table1[[#This Row],[VIN]]*Table1[[#This Row],[PF]])</f>
        <v>1.4082218491036125</v>
      </c>
      <c r="D19" s="21">
        <f>(((H19)/(A19*B19*0.95))*(2^(1/2))*2)/3.14</f>
        <v>1.3352507125929918</v>
      </c>
      <c r="E19" s="21">
        <f>B19*D19</f>
        <v>296.42565819564419</v>
      </c>
      <c r="F19" s="20">
        <v>390</v>
      </c>
      <c r="G19" s="4">
        <v>0.8</v>
      </c>
      <c r="H19" s="4">
        <f t="shared" ref="H19:H26" si="2">F19*G19</f>
        <v>312</v>
      </c>
      <c r="I19" s="5">
        <f t="shared" ref="I19:I27" si="3">E19/H19</f>
        <v>0.95008223780655188</v>
      </c>
    </row>
    <row r="20" spans="1:9" x14ac:dyDescent="0.3">
      <c r="A20" s="20">
        <v>1</v>
      </c>
      <c r="B20" s="20">
        <v>218</v>
      </c>
      <c r="C20" s="21">
        <f>Table1[[#This Row],[POUT]]/(Table1[[#This Row],[VIN]]*Table1[[#This Row],[PF]])</f>
        <v>2.1467889908256881</v>
      </c>
      <c r="D20" s="21">
        <f>(((H20)/(A20*B20*0.95))*(2^(1/2))*2)/3.14</f>
        <v>2.0355468363251346</v>
      </c>
      <c r="E20" s="21">
        <f>B20*D20</f>
        <v>443.74921031887931</v>
      </c>
      <c r="F20" s="20">
        <v>390</v>
      </c>
      <c r="G20" s="4">
        <v>1.2</v>
      </c>
      <c r="H20" s="4">
        <f t="shared" si="2"/>
        <v>468</v>
      </c>
      <c r="I20" s="5">
        <f t="shared" si="3"/>
        <v>0.94818207333093874</v>
      </c>
    </row>
    <row r="21" spans="1:9" x14ac:dyDescent="0.3">
      <c r="A21" s="20">
        <v>0.99</v>
      </c>
      <c r="B21" s="20">
        <v>214</v>
      </c>
      <c r="C21" s="21">
        <f>Table1[[#This Row],[POUT]]/(Table1[[#This Row],[VIN]]*Table1[[#This Row],[PF]])</f>
        <v>2.9453412630982725</v>
      </c>
      <c r="D21" s="21">
        <f>(((H21)/(A21*B21*0.95))*(2^(1/2))*2)/3.14</f>
        <v>2.7927197855116863</v>
      </c>
      <c r="E21" s="21">
        <f>B21*D21</f>
        <v>597.64203409950085</v>
      </c>
      <c r="F21" s="20">
        <v>390</v>
      </c>
      <c r="G21" s="4">
        <v>1.6</v>
      </c>
      <c r="H21" s="4">
        <f t="shared" si="2"/>
        <v>624</v>
      </c>
      <c r="I21" s="5">
        <f t="shared" si="3"/>
        <v>0.9577596700312514</v>
      </c>
    </row>
    <row r="22" spans="1:9" x14ac:dyDescent="0.3">
      <c r="A22" s="20">
        <v>0.98899999999999999</v>
      </c>
      <c r="B22" s="20">
        <v>210</v>
      </c>
      <c r="C22" s="21">
        <f>Table1[[#This Row],[POUT]]/(Table1[[#This Row],[VIN]]*Table1[[#This Row],[PF]])</f>
        <v>3.7555972844142711</v>
      </c>
      <c r="D22" s="21">
        <f>(((H22)/(A22*B22*0.95))*(2^(1/2))*2)/3.14</f>
        <v>3.560990019731967</v>
      </c>
      <c r="E22" s="21">
        <f>B22*D22</f>
        <v>747.80790414371313</v>
      </c>
      <c r="F22" s="20">
        <v>390</v>
      </c>
      <c r="G22" s="4">
        <v>2</v>
      </c>
      <c r="H22" s="4">
        <f t="shared" si="2"/>
        <v>780</v>
      </c>
      <c r="I22" s="5">
        <f t="shared" si="3"/>
        <v>0.95872808223552963</v>
      </c>
    </row>
    <row r="23" spans="1:9" x14ac:dyDescent="0.3">
      <c r="A23" s="20">
        <v>0.98</v>
      </c>
      <c r="B23" s="20">
        <v>206</v>
      </c>
      <c r="C23" s="21">
        <f>Table1[[#This Row],[POUT]]/(Table1[[#This Row],[VIN]]*Table1[[#This Row],[PF]])</f>
        <v>4.6364176738656626</v>
      </c>
      <c r="D23" s="21">
        <f>(((H23)/(A23*B23*0.95))*(2^(1/2))*2)/3.14</f>
        <v>4.3961681228341529</v>
      </c>
      <c r="E23" s="21">
        <f>B23*D23</f>
        <v>905.61063330383547</v>
      </c>
      <c r="F23" s="20">
        <v>390</v>
      </c>
      <c r="G23" s="4">
        <v>2.4</v>
      </c>
      <c r="H23" s="4">
        <f t="shared" si="2"/>
        <v>936</v>
      </c>
      <c r="I23" s="5">
        <f t="shared" si="3"/>
        <v>0.96753272788871314</v>
      </c>
    </row>
    <row r="24" spans="1:9" x14ac:dyDescent="0.3">
      <c r="A24" s="20">
        <v>0.99</v>
      </c>
      <c r="B24" s="20">
        <v>202</v>
      </c>
      <c r="C24" s="21">
        <f>Table1[[#This Row],[POUT]]/(Table1[[#This Row],[VIN]]*Table1[[#This Row],[PF]])</f>
        <v>5.4605460546054605</v>
      </c>
      <c r="D24" s="21">
        <f>(((H24)/(A24*B24*0.95))*(2^(1/2))*2)/3.14</f>
        <v>5.1775918795748836</v>
      </c>
      <c r="E24" s="21">
        <f>B24*D24</f>
        <v>1045.8735596741265</v>
      </c>
      <c r="F24" s="20">
        <v>390</v>
      </c>
      <c r="G24" s="4">
        <v>2.8</v>
      </c>
      <c r="H24" s="4">
        <f t="shared" si="2"/>
        <v>1092</v>
      </c>
      <c r="I24" s="5">
        <f t="shared" si="3"/>
        <v>0.95775967003125129</v>
      </c>
    </row>
    <row r="25" spans="1:9" x14ac:dyDescent="0.3">
      <c r="A25" s="20">
        <v>1</v>
      </c>
      <c r="B25" s="20">
        <v>198</v>
      </c>
      <c r="C25" s="21">
        <f>Table1[[#This Row],[POUT]]/(Table1[[#This Row],[VIN]]*Table1[[#This Row],[PF]])</f>
        <v>6.3030303030303028</v>
      </c>
      <c r="D25" s="21">
        <f>(((H25)/(A25*B25*0.95))*(2^(1/2))*2)/3.14</f>
        <v>5.9764203409950083</v>
      </c>
      <c r="E25" s="21">
        <f>B25*D25</f>
        <v>1183.3312275170117</v>
      </c>
      <c r="F25" s="20">
        <v>390</v>
      </c>
      <c r="G25" s="4">
        <v>3.2</v>
      </c>
      <c r="H25" s="4">
        <f t="shared" si="2"/>
        <v>1248</v>
      </c>
      <c r="I25" s="5">
        <f t="shared" si="3"/>
        <v>0.94818207333093885</v>
      </c>
    </row>
    <row r="26" spans="1:9" x14ac:dyDescent="0.3">
      <c r="A26" s="20">
        <v>0.998</v>
      </c>
      <c r="B26" s="20">
        <v>194</v>
      </c>
      <c r="C26" s="21">
        <f>Table1[[#This Row],[POUT]]/(Table1[[#This Row],[VIN]]*Table1[[#This Row],[PF]])</f>
        <v>7.2516166353325211</v>
      </c>
      <c r="D26" s="21">
        <f>(((H26)/(A26*B26*0.95))*(2^(1/2))*2)/3.14</f>
        <v>6.8758528962907155</v>
      </c>
      <c r="E26" s="21">
        <f>B26*D26</f>
        <v>1333.9154618803989</v>
      </c>
      <c r="F26" s="20">
        <v>390</v>
      </c>
      <c r="G26" s="4">
        <v>3.6</v>
      </c>
      <c r="H26" s="4">
        <f t="shared" si="2"/>
        <v>1404</v>
      </c>
      <c r="I26" s="5">
        <f t="shared" si="3"/>
        <v>0.95008223780655188</v>
      </c>
    </row>
    <row r="27" spans="1:9" x14ac:dyDescent="0.3">
      <c r="A27" s="20">
        <v>0.999</v>
      </c>
      <c r="B27" s="20">
        <v>190</v>
      </c>
      <c r="C27" s="21">
        <f>Table1[[#This Row],[POUT]]/(Table1[[#This Row],[VIN]]*Table1[[#This Row],[PF]])</f>
        <v>7.9105421210684366</v>
      </c>
      <c r="D27" s="21">
        <f>(((H27)/(A27*B27*0.95))*(2^(1/2))*2)/3.14</f>
        <v>7.5006342295263915</v>
      </c>
      <c r="E27" s="21">
        <f>B27*D27</f>
        <v>1425.1205036100143</v>
      </c>
      <c r="F27" s="20">
        <v>390</v>
      </c>
      <c r="G27" s="4">
        <v>3.85</v>
      </c>
      <c r="H27" s="4">
        <f t="shared" ref="H27" si="4">F27*G27</f>
        <v>1501.5</v>
      </c>
      <c r="I27" s="5">
        <f t="shared" si="3"/>
        <v>0.94913120453547406</v>
      </c>
    </row>
  </sheetData>
  <mergeCells count="1">
    <mergeCell ref="A1:E2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Switching Frequency</vt:lpstr>
      <vt:lpstr>Power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 Harir Abdulle</dc:creator>
  <cp:lastModifiedBy>KAH HARIR ABDULLE</cp:lastModifiedBy>
  <dcterms:created xsi:type="dcterms:W3CDTF">2026-02-18T17:06:35Z</dcterms:created>
  <dcterms:modified xsi:type="dcterms:W3CDTF">2026-05-03T10:18:17Z</dcterms:modified>
</cp:coreProperties>
</file>
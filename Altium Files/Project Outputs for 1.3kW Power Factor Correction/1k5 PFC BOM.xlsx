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 files\Projects\PFC\4KW Power Factor Correction\Project Outputs for 4KW Power Factor Correction\"/>
    </mc:Choice>
  </mc:AlternateContent>
  <xr:revisionPtr revIDLastSave="0" documentId="13_ncr:1_{D4B7133A-6A58-42A6-81F9-9B230AB4AB77}" xr6:coauthVersionLast="36" xr6:coauthVersionMax="36" xr10:uidLastSave="{00000000-0000-0000-0000-000000000000}"/>
  <bookViews>
    <workbookView xWindow="0" yWindow="0" windowWidth="10776" windowHeight="10128" xr2:uid="{86602390-934A-40E2-AE72-70020E9CC716}"/>
  </bookViews>
  <sheets>
    <sheet name="1k5 PFC BOM" sheetId="1" r:id="rId1"/>
  </sheets>
  <definedNames>
    <definedName name="_xlnm.Print_Titles" localSheetId="0">'1k5 PFC BOM'!#REF!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9" i="1" l="1"/>
  <c r="K70" i="1" s="1"/>
  <c r="K68" i="1"/>
  <c r="K71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50" i="1"/>
  <c r="L51" i="1"/>
  <c r="L52" i="1"/>
  <c r="L53" i="1"/>
  <c r="L54" i="1"/>
  <c r="L55" i="1"/>
  <c r="L56" i="1"/>
  <c r="L57" i="1"/>
  <c r="L58" i="1"/>
</calcChain>
</file>

<file path=xl/sharedStrings.xml><?xml version="1.0" encoding="utf-8"?>
<sst xmlns="http://schemas.openxmlformats.org/spreadsheetml/2006/main" count="423" uniqueCount="286">
  <si>
    <t>LibRef</t>
  </si>
  <si>
    <t>B32026A3105M000</t>
  </si>
  <si>
    <t>CAP, 1ÂµF, 20%, PP; Capacitance: 1ÂµF; Suppression Class: Y2; Product Range: B32026 Series; Voltage Rating X: -; Voltage Rating Y: 300V; Capacitor Dielectric Type: PP (Polypropylene); Capacitance Tolerance: Â± 20%; dv/dt Rating: 30</t>
  </si>
  <si>
    <t>C1</t>
  </si>
  <si>
    <t>CAPRR3750W100L4150T1800H3250</t>
  </si>
  <si>
    <t>CL10B222KB8NNNC</t>
  </si>
  <si>
    <t>MLCC (1608) 0603 2.2nF 50VDC ±10% X7R</t>
  </si>
  <si>
    <t>C2</t>
  </si>
  <si>
    <t>CAPC1608N</t>
  </si>
  <si>
    <t>CAP_0805</t>
  </si>
  <si>
    <t>CL10B104KB8NNNC</t>
  </si>
  <si>
    <t>MLCC (1608) 0603 100nF 50VDC ±10% X7R</t>
  </si>
  <si>
    <t>C3, C5, C13</t>
  </si>
  <si>
    <t>CL21A106KAYNNNE</t>
  </si>
  <si>
    <t>MLCC (2012) 0805 10uF 25VDC ±10% X5R</t>
  </si>
  <si>
    <t>C4, C8, C10, C12</t>
  </si>
  <si>
    <t>CL10B332KB8NNNC</t>
  </si>
  <si>
    <t>MLCC (1608) 0603 3.3nF 50VDC ±10% X7R</t>
  </si>
  <si>
    <t>C6</t>
  </si>
  <si>
    <t>CL10B102KB8NNNC</t>
  </si>
  <si>
    <t>MLCC (1608) 0603 1nF 50VDC ±10% X7R</t>
  </si>
  <si>
    <t>C7</t>
  </si>
  <si>
    <t>CL10F334ZA8NNNC</t>
  </si>
  <si>
    <t>MLCC (1608) 0603 330nF 25VDC -20% +80% Y5V</t>
  </si>
  <si>
    <t>C9</t>
  </si>
  <si>
    <t>BXJ50VC33MF80TP</t>
  </si>
  <si>
    <t>Aluminum Electrolytic Capacitor, 33 uF, 50 V, ± 20%, 2000 hours @ 105°C, Radial Can - SMD</t>
  </si>
  <si>
    <t>C11</t>
  </si>
  <si>
    <t>FP-FKE-MFG</t>
  </si>
  <si>
    <t>CMP-00287-05444366-1</t>
  </si>
  <si>
    <t>SC1V106M05005VR</t>
  </si>
  <si>
    <t>CAP.EL.10uF 35V 5x5.3 85C SMD SAMWHA</t>
  </si>
  <si>
    <t>C14</t>
  </si>
  <si>
    <t>FP-FKC-MFG</t>
  </si>
  <si>
    <t>CMP-05427-000030-1</t>
  </si>
  <si>
    <t>C1206C104KARECAUTO</t>
  </si>
  <si>
    <t>0.1 ÂµF Â±10% 250V Ceramic Capacitor X7R 1206 (3216 Metric)</t>
  </si>
  <si>
    <t>C15</t>
  </si>
  <si>
    <t>CAPC3216X140N</t>
  </si>
  <si>
    <t>PKLH-400V4R7MG125-T/A5.0</t>
  </si>
  <si>
    <t>CAP.EL.4u7 400V 10X12.5 5MM %20 105C LOW IMP</t>
  </si>
  <si>
    <t>C16, C18</t>
  </si>
  <si>
    <t>FP-RAD-TH-D_10_0_5-L_12_5-MFG</t>
  </si>
  <si>
    <t>CMP-05427-001671-1</t>
  </si>
  <si>
    <t>CKL025M101F10PKKKV00A</t>
  </si>
  <si>
    <t>CAP.EL.100uF 25V 8x10 105C 5000H AEC-Q200 SMT</t>
  </si>
  <si>
    <t>C17</t>
  </si>
  <si>
    <t>FP-SEV8X10_5-MFG</t>
  </si>
  <si>
    <t>CMP-35376-000024-1</t>
  </si>
  <si>
    <t>ESMR451VSN821MA50S</t>
  </si>
  <si>
    <t>Aluminum Electrolytic Capacitors - Snap In 450V 820uF 20% Tol.</t>
  </si>
  <si>
    <t>C19, C20</t>
  </si>
  <si>
    <t>CAPPRD1000W180D3550H5250</t>
  </si>
  <si>
    <t>GBJ2510-HT</t>
  </si>
  <si>
    <t>DIODE BRIDGE 25A 1000V</t>
  </si>
  <si>
    <t>D1</t>
  </si>
  <si>
    <t>DIOB_GBJ2510-F</t>
  </si>
  <si>
    <t>B0530W-7-F</t>
  </si>
  <si>
    <t>DIODE SCHOTTKY 30V 500MA SOD123</t>
  </si>
  <si>
    <t>D2, D6, D7</t>
  </si>
  <si>
    <t>FP-SOD123-MFG</t>
  </si>
  <si>
    <t>CMP-2000-05879-2</t>
  </si>
  <si>
    <t>RS1M</t>
  </si>
  <si>
    <t>DIODE GEN PURP 1KV 1A SMA</t>
  </si>
  <si>
    <t>D3, D4, D9, D10, D12</t>
  </si>
  <si>
    <t>FP-403AE-MFG</t>
  </si>
  <si>
    <t>CMP-07163-000022-1</t>
  </si>
  <si>
    <t>LTST-C190TGKT</t>
  </si>
  <si>
    <t>LED SMD 0603 GREEN 71-450mcd 130° WATER CLEAR</t>
  </si>
  <si>
    <t>D5</t>
  </si>
  <si>
    <t>LED_0603_GREEN</t>
  </si>
  <si>
    <t>1N4148W-13-F</t>
  </si>
  <si>
    <t>DIODE GEN PURP 100V 150MA SOD123</t>
  </si>
  <si>
    <t>D8</t>
  </si>
  <si>
    <t>CMP-12791-000005-1</t>
  </si>
  <si>
    <t>19-21/R6C-AP1Q2/4T</t>
  </si>
  <si>
    <t>LED SMD 0603 RED 28.5-72mcd 100° WATER CLEAR</t>
  </si>
  <si>
    <t>D11, D15</t>
  </si>
  <si>
    <t>LED_0603_RED</t>
  </si>
  <si>
    <t>1N5406</t>
  </si>
  <si>
    <t>DIODE GEN PURP 600V 3A DO201AD</t>
  </si>
  <si>
    <t>D13</t>
  </si>
  <si>
    <t>FP-1N5406-E3-54-MFG</t>
  </si>
  <si>
    <t>CMP-02540-000085-1</t>
  </si>
  <si>
    <t>WNSC5D30650W6Q</t>
  </si>
  <si>
    <t>DIODE SIL.CARB.SCHOTTKY 30A 650V TO247F-2L THT</t>
  </si>
  <si>
    <t>D14</t>
  </si>
  <si>
    <t>Diode</t>
  </si>
  <si>
    <t>Diode,</t>
  </si>
  <si>
    <t>DG136HT-10.16-02P-14-00A</t>
  </si>
  <si>
    <t>PCB terminal blocks,Rated current: 65A,Rated voltage （III/2）1000V,Cross section:2.5-16mm²,pitch:10.16mm,connector method:Screw connector with tension sleeve,Color:green,Contact surface :Tin</t>
  </si>
  <si>
    <t>J1</t>
  </si>
  <si>
    <t>DG136HT-02P</t>
  </si>
  <si>
    <t>DG25S-B-03P-13-00AH</t>
  </si>
  <si>
    <t>TERM.BLK.7.62MM 3P BARRIER TERMINAL BLACK</t>
  </si>
  <si>
    <t>J2</t>
  </si>
  <si>
    <t>DG28C-B-03P</t>
  </si>
  <si>
    <t>G5LE-1-E-DC12</t>
  </si>
  <si>
    <t>RELAY POWER 16A 12V 1FormC 5PIN</t>
  </si>
  <si>
    <t>K1</t>
  </si>
  <si>
    <t>FPI0705-102K(W0.15)</t>
  </si>
  <si>
    <t>INDUCTOR POWER 1mH 7.8X7.0X5.0MM SMD</t>
  </si>
  <si>
    <t>L1, L2</t>
  </si>
  <si>
    <t>WE-PD2_1054</t>
  </si>
  <si>
    <t>CMP-0227-00499-2</t>
  </si>
  <si>
    <t>0077438A7</t>
  </si>
  <si>
    <t>Coated Kool Mu Ferrite Core Toroid Type Length Width 1.875" (47.63mm) Diameter 0.745" (18.92mm) Height</t>
  </si>
  <si>
    <t>L3</t>
  </si>
  <si>
    <t/>
  </si>
  <si>
    <t>DMP6185SEQ-13</t>
  </si>
  <si>
    <t>P-Channel 60 V 3A (Ta) 2.2W (Ta) Surface Mount SOT-223-3</t>
  </si>
  <si>
    <t>Q1</t>
  </si>
  <si>
    <t>SOT223</t>
  </si>
  <si>
    <t>MOSFET_P_CHANNEL</t>
  </si>
  <si>
    <t>2N7002K-T1-GE3</t>
  </si>
  <si>
    <t>N-Channel 60 V 300mA (Ta) 350mW (Ta) Surface Mount SOT-23-3 (TO-236)</t>
  </si>
  <si>
    <t>Q2</t>
  </si>
  <si>
    <t>SOT23-3</t>
  </si>
  <si>
    <t>2N7002</t>
  </si>
  <si>
    <t>MMBTA92-7-F</t>
  </si>
  <si>
    <t>PNP Small Signal Transisitor, 500 mA, 300 mW, -55 to 150 degC, 3-Pin SOT23, RoHS, Tape and Reel</t>
  </si>
  <si>
    <t>Q3, Q4</t>
  </si>
  <si>
    <t>DIOD-SOT23-3_V</t>
  </si>
  <si>
    <t>CMP-2000-06736-1</t>
  </si>
  <si>
    <t>FCP190N65S3R0</t>
  </si>
  <si>
    <t>MOSFET DIS.17A 650V N-CH TO220-3</t>
  </si>
  <si>
    <t>Q5, Q6</t>
  </si>
  <si>
    <t>Mosfet_T0220</t>
  </si>
  <si>
    <t>Mosfet_TO220</t>
  </si>
  <si>
    <t>CRT03F7E6803</t>
  </si>
  <si>
    <t>RES.(1608) 0603 680K Ohms 1% 1/10W 100PPM,</t>
  </si>
  <si>
    <t>R1</t>
  </si>
  <si>
    <t>RESC1608N</t>
  </si>
  <si>
    <t>RES</t>
  </si>
  <si>
    <t>RC0603JR-07330KL</t>
  </si>
  <si>
    <t>RES.(1608) 0603 330K Ohms 5% 1/10W 100PPM SMT,, RES.(1608) 0603 330K Ohms 5% 1/10W-S 100PPM</t>
  </si>
  <si>
    <t>R2, R15, R16, R17, R19</t>
  </si>
  <si>
    <t>V385LA20AP</t>
  </si>
  <si>
    <t>VARISTOR 470V 4.5KA DISC 14MM</t>
  </si>
  <si>
    <t>R3</t>
  </si>
  <si>
    <t>FP-B72214S0301K101-0</t>
  </si>
  <si>
    <t>CMP-10618-000016-1</t>
  </si>
  <si>
    <t>RI0603L105JT</t>
  </si>
  <si>
    <t>RES.(1608) 0603 1M Ohms 5% 1/10W 200PPM,</t>
  </si>
  <si>
    <t>R4</t>
  </si>
  <si>
    <t>PPL19100HA1B7CKB</t>
  </si>
  <si>
    <t>THERMISTOR PTC 10R 270VAC</t>
  </si>
  <si>
    <t>R5</t>
  </si>
  <si>
    <t>FP-PGTL_P5_D7_4_T4_H13_4-MFG</t>
  </si>
  <si>
    <t>CMP-06022-000524-1</t>
  </si>
  <si>
    <t>0603SAF2200T5E</t>
  </si>
  <si>
    <t>RES.(1608) 0603 220 Ohms 1% 1/10W-S 100PPM</t>
  </si>
  <si>
    <t>R6</t>
  </si>
  <si>
    <t>PE2512FKE7W0R018L</t>
  </si>
  <si>
    <t>18 mOhms ±1% 2W Chip Resistor 2512 (6332 Metric) Automotive AEC-Q200, Current Sense Metal Film</t>
  </si>
  <si>
    <t>R7</t>
  </si>
  <si>
    <t>CSS2H-2512</t>
  </si>
  <si>
    <t>CRT03J7E1200</t>
  </si>
  <si>
    <t>RES.(1608) 0603 120 Ohms 5% 1/10W-S 100PPM</t>
  </si>
  <si>
    <t>R8, R9</t>
  </si>
  <si>
    <t>RC0603JR-0710KL</t>
  </si>
  <si>
    <t>RES.(1608) 0603 10K Ohms 5% 1/10W 100PPM SMT</t>
  </si>
  <si>
    <t>R10, R12, R20</t>
  </si>
  <si>
    <t>0603SAF4752T5E</t>
  </si>
  <si>
    <t>RES.(1608) 0603 47.5K Ohms 1% 1/10W-S 100PPM</t>
  </si>
  <si>
    <t>R11</t>
  </si>
  <si>
    <t>0603SAF4701T5E</t>
  </si>
  <si>
    <t>RES.(1608) 0603 4.7K Ohms 1% 1/10W-S 100PPM</t>
  </si>
  <si>
    <t>R13, R14, R31</t>
  </si>
  <si>
    <t>CQ03SAF3301T5E</t>
  </si>
  <si>
    <t>RES.(1608) 0603 3.3K Ohms 1% 1/10W AUTOMOTIV</t>
  </si>
  <si>
    <t>R18</t>
  </si>
  <si>
    <t>0603SAJ0100T5E</t>
  </si>
  <si>
    <t>RES.(1608) 0603 10 Ohms 5% 1/10W-S 400PPM</t>
  </si>
  <si>
    <t>R23, R25</t>
  </si>
  <si>
    <t>0603SAJ068JT5E</t>
  </si>
  <si>
    <t>RES.(1608) 0603 6.8 Ohms 5% 1/10W-S 400PPM</t>
  </si>
  <si>
    <t>R24, R28</t>
  </si>
  <si>
    <t>0603SAF1622T5E</t>
  </si>
  <si>
    <t>RES.(1608) 0603 16.2K Ohms 1% 1/10W-S 100PPM</t>
  </si>
  <si>
    <t>R29</t>
  </si>
  <si>
    <t>HP03W5F2001T5E</t>
  </si>
  <si>
    <t>RES.(1608) 0603 2K Ohms 1% 1/5W</t>
  </si>
  <si>
    <t>R30, R32</t>
  </si>
  <si>
    <t>0603SAJ0105TDE</t>
  </si>
  <si>
    <t>RES.(1608) 0603 1M Ohms 5% 1/10W-S 100PPM</t>
  </si>
  <si>
    <t>R33, R34, R35</t>
  </si>
  <si>
    <t>CR-03FA7--12K7</t>
  </si>
  <si>
    <t>R36</t>
  </si>
  <si>
    <t>5010</t>
  </si>
  <si>
    <t>Test Point, Red, Through Hole, RoHS, Bulk</t>
  </si>
  <si>
    <t>TP4</t>
  </si>
  <si>
    <t>KSTN-5010_V</t>
  </si>
  <si>
    <t>CMP-1672-00002-4</t>
  </si>
  <si>
    <t>UCC28180D</t>
  </si>
  <si>
    <t>IC PFC CTRLR AVERAGE CURR 8SOIC</t>
  </si>
  <si>
    <t>U1</t>
  </si>
  <si>
    <t>FP-D0008A-MFG</t>
  </si>
  <si>
    <t>CMP-04918-000038-1</t>
  </si>
  <si>
    <t>UCC27424DGNR</t>
  </si>
  <si>
    <t>Dual Low-Side Gate Driver IC Non-Inverting 8-HVSSOP</t>
  </si>
  <si>
    <t>U2</t>
  </si>
  <si>
    <t>SOP65P490X110-9N</t>
  </si>
  <si>
    <t>LNK306GN-TL</t>
  </si>
  <si>
    <t>Lowest Component Count, Energy-Efficient Off-Line Switcher IC, 85 to 265 V, 220 uA, -40 to 150 degC, 7-Pin SMD, RoHS, Tube</t>
  </si>
  <si>
    <t>U3</t>
  </si>
  <si>
    <t>PI-SMD-8B-7_V</t>
  </si>
  <si>
    <t>CMP-2000-06569-1</t>
  </si>
  <si>
    <t>696108003002</t>
  </si>
  <si>
    <t>XF1</t>
  </si>
  <si>
    <t>CMP-1502-00237-2</t>
  </si>
  <si>
    <t>MMSZ18V-HT</t>
  </si>
  <si>
    <t>DIODE ZENER 500mW 18V ±5% SOD123 SMT</t>
  </si>
  <si>
    <t>Z1, Z3</t>
  </si>
  <si>
    <t>SOD523C</t>
  </si>
  <si>
    <t>ZENER-1</t>
  </si>
  <si>
    <t>BZT52C5V1TQ-7-F</t>
  </si>
  <si>
    <t>Zener Diode 5.1 V 300 mW ±6% Surface Mount SOD-523</t>
  </si>
  <si>
    <t>Z2</t>
  </si>
  <si>
    <t>MMSZ5248BS-7-F</t>
  </si>
  <si>
    <t>Zener Diode 18 V 200 mW ±5% Surface Mount SOD-323</t>
  </si>
  <si>
    <t>Z4</t>
  </si>
  <si>
    <t>ZDO_SOD323_DIO-M</t>
  </si>
  <si>
    <t>Item #</t>
  </si>
  <si>
    <t>Distributor</t>
  </si>
  <si>
    <t>Description / Value</t>
  </si>
  <si>
    <t>TUBITAK 2209-A PFC Bom Quotation</t>
  </si>
  <si>
    <r>
      <rPr>
        <sz val="22"/>
        <color theme="1"/>
        <rFont val="Arial Black"/>
        <family val="2"/>
        <charset val="162"/>
      </rPr>
      <t>*</t>
    </r>
    <r>
      <rPr>
        <b/>
        <sz val="22"/>
        <color theme="1"/>
        <rFont val="Arial Black"/>
        <family val="2"/>
        <charset val="162"/>
      </rPr>
      <t>Mfg Part #</t>
    </r>
  </si>
  <si>
    <r>
      <rPr>
        <sz val="22"/>
        <color theme="1"/>
        <rFont val="Arial Black"/>
        <family val="2"/>
        <charset val="162"/>
      </rPr>
      <t>*</t>
    </r>
    <r>
      <rPr>
        <b/>
        <sz val="22"/>
        <color theme="1"/>
        <rFont val="Arial Black"/>
        <family val="2"/>
        <charset val="162"/>
      </rPr>
      <t>Designator</t>
    </r>
  </si>
  <si>
    <r>
      <rPr>
        <sz val="22"/>
        <color theme="1"/>
        <rFont val="Arial Black"/>
        <family val="2"/>
        <charset val="162"/>
      </rPr>
      <t>*</t>
    </r>
    <r>
      <rPr>
        <b/>
        <sz val="22"/>
        <color theme="1"/>
        <rFont val="Arial Black"/>
        <family val="2"/>
        <charset val="162"/>
      </rPr>
      <t>Package/Footprint</t>
    </r>
  </si>
  <si>
    <r>
      <rPr>
        <sz val="22"/>
        <color theme="1"/>
        <rFont val="Arial Black"/>
        <family val="2"/>
        <charset val="162"/>
      </rPr>
      <t>*</t>
    </r>
    <r>
      <rPr>
        <b/>
        <sz val="22"/>
        <color theme="1"/>
        <rFont val="Arial Black"/>
        <family val="2"/>
        <charset val="162"/>
      </rPr>
      <t>Qty</t>
    </r>
  </si>
  <si>
    <r>
      <rPr>
        <sz val="22"/>
        <color theme="1"/>
        <rFont val="Arial Black"/>
        <family val="2"/>
        <charset val="162"/>
      </rPr>
      <t>*</t>
    </r>
    <r>
      <rPr>
        <b/>
        <sz val="22"/>
        <color theme="1"/>
        <rFont val="Arial Black"/>
        <family val="2"/>
        <charset val="162"/>
      </rPr>
      <t>Total</t>
    </r>
  </si>
  <si>
    <r>
      <rPr>
        <sz val="22"/>
        <color theme="1"/>
        <rFont val="Arial Black"/>
        <family val="2"/>
        <charset val="162"/>
      </rPr>
      <t>*</t>
    </r>
    <r>
      <rPr>
        <b/>
        <sz val="22"/>
        <color theme="1"/>
        <rFont val="Arial Black"/>
        <family val="2"/>
        <charset val="162"/>
      </rPr>
      <t>Delivery Time</t>
    </r>
  </si>
  <si>
    <r>
      <rPr>
        <sz val="22"/>
        <color theme="1"/>
        <rFont val="Arial Black"/>
        <family val="2"/>
        <charset val="162"/>
      </rPr>
      <t>*</t>
    </r>
    <r>
      <rPr>
        <b/>
        <sz val="22"/>
        <color theme="1"/>
        <rFont val="Arial Black"/>
        <family val="2"/>
        <charset val="162"/>
      </rPr>
      <t xml:space="preserve"> Note</t>
    </r>
  </si>
  <si>
    <t>Özdisan</t>
  </si>
  <si>
    <t>Digikey</t>
  </si>
  <si>
    <t>CC0603KRX7R9BB104</t>
  </si>
  <si>
    <t>Talep</t>
  </si>
  <si>
    <t>CKL025M101F10PKKKV00R</t>
  </si>
  <si>
    <t>B0530W-HT</t>
  </si>
  <si>
    <t>HOTTECH</t>
  </si>
  <si>
    <t>Manufucture</t>
  </si>
  <si>
    <t>LITEON</t>
  </si>
  <si>
    <t>1N4148W-HT</t>
  </si>
  <si>
    <t>EVERLIGHT</t>
  </si>
  <si>
    <t>1N5406-HT</t>
  </si>
  <si>
    <t>WEEN SEMICONDUCTORS</t>
  </si>
  <si>
    <t>DEGSON</t>
  </si>
  <si>
    <t>OMRON</t>
  </si>
  <si>
    <t>https://www.ozdisan.com/p/genel-tip-roleler-403/omron-g5le-1-e-dc12-1325193</t>
  </si>
  <si>
    <t>CORE MASTER</t>
  </si>
  <si>
    <t>Magnetics, a division of Spang &amp; Co.</t>
  </si>
  <si>
    <t>DIODES</t>
  </si>
  <si>
    <t>VISHAY</t>
  </si>
  <si>
    <t>MMBTA92-HT</t>
  </si>
  <si>
    <t>ONS</t>
  </si>
  <si>
    <t>VIKING</t>
  </si>
  <si>
    <t>YAGEO</t>
  </si>
  <si>
    <t>LITTELFUSE</t>
  </si>
  <si>
    <t>THINKING</t>
  </si>
  <si>
    <t>ROYALOHM</t>
  </si>
  <si>
    <t>0603SAJ0472T5E</t>
  </si>
  <si>
    <t>KEYSTONE</t>
  </si>
  <si>
    <t>Texas Instruments</t>
  </si>
  <si>
    <t>POWER INTEGRATIONS</t>
  </si>
  <si>
    <t>BZT52C5V6-7-F</t>
  </si>
  <si>
    <t>KEMET</t>
  </si>
  <si>
    <t>*Unit Price(1sets)</t>
  </si>
  <si>
    <t>SAMSUNG</t>
  </si>
  <si>
    <t>SAMYOUNG</t>
  </si>
  <si>
    <t>SAMWAHA</t>
  </si>
  <si>
    <t>KOSHIN</t>
  </si>
  <si>
    <t>SUSCON</t>
  </si>
  <si>
    <t>Chemi-Con</t>
  </si>
  <si>
    <t>PANASONIC</t>
  </si>
  <si>
    <t>ERJ-PB3D1272V</t>
  </si>
  <si>
    <t>RES SMD 12.7K OHM 0.5% 1/5W 0603</t>
  </si>
  <si>
    <t>TOTAL PRICE DIGIKEY</t>
  </si>
  <si>
    <t>TOTAL PRICE ÖZDİSAN</t>
  </si>
  <si>
    <t>ÖZDİSAN KDV</t>
  </si>
  <si>
    <t>TOTAL PRICE</t>
  </si>
  <si>
    <t>TDK</t>
  </si>
  <si>
    <t>EK OLARARAK : #AWG14, #AWG16  BAKIR KOBLO GEREKIR BOBIN SARIMI İÇİN EĞER KANDIMIMIZ SARACKSAK</t>
  </si>
  <si>
    <t xml:space="preserve">#AWG14 VE #AWG16 İÇİN 7metre BAKIR KABLO GEREKIR! </t>
  </si>
  <si>
    <t>NOT:</t>
  </si>
  <si>
    <t>Bunu değişecek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</si>
</sst>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_-[$$-409]* #,##0.00_ ;_-[$$-409]* \-#,##0.00\ ;_-[$$-409]* &quot;-&quot;??_ ;_-@_ "/>
  </numFmts>
  <fonts count="15" x14ac:knownFonts="1">
    <font>
      <sz val="11"/>
      <color theme="1"/>
      <name val="Calibri"/>
      <family val="2"/>
      <charset val="16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22"/>
      <color theme="1"/>
      <name val="Arial Black"/>
      <family val="2"/>
      <charset val="162"/>
    </font>
    <font>
      <sz val="22"/>
      <color theme="1"/>
      <name val="Arial Black"/>
      <family val="2"/>
      <charset val="162"/>
    </font>
    <font>
      <sz val="11"/>
      <color theme="1"/>
      <name val="Calibri"/>
      <family val="2"/>
      <charset val="162"/>
      <scheme val="minor"/>
    </font>
    <font>
      <sz val="14"/>
      <color theme="1"/>
      <name val="Arial Narrow"/>
      <family val="2"/>
      <charset val="162"/>
    </font>
    <font>
      <b/>
      <sz val="20"/>
      <color theme="1"/>
      <name val="Arial Narrow"/>
      <family val="2"/>
      <charset val="162"/>
    </font>
    <font>
      <b/>
      <sz val="16"/>
      <color theme="1"/>
      <name val="Arial Narrow"/>
      <family val="2"/>
      <charset val="162"/>
    </font>
    <font>
      <b/>
      <sz val="16"/>
      <color theme="1"/>
      <name val="Calibri"/>
      <family val="2"/>
      <charset val="162"/>
      <scheme val="minor"/>
    </font>
    <font>
      <sz val="14"/>
      <color theme="1"/>
      <name val="Arial"/>
      <family val="2"/>
      <charset val="162"/>
    </font>
    <font>
      <b/>
      <sz val="20"/>
      <color theme="1"/>
      <name val="Calibri"/>
      <family val="2"/>
      <charset val="162"/>
      <scheme val="minor"/>
    </font>
    <font>
      <sz val="36"/>
      <color theme="1"/>
      <name val="Calibri"/>
      <family val="2"/>
      <charset val="162"/>
      <scheme val="minor"/>
    </font>
    <font>
      <b/>
      <sz val="36"/>
      <name val="Arial"/>
      <family val="2"/>
      <charset val="162"/>
    </font>
    <font>
      <sz val="16"/>
      <color theme="1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0" fillId="0" borderId="0" xfId="0" applyFill="1" applyBorder="1"/>
    <xf numFmtId="0" fontId="3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5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6" fillId="0" borderId="1" xfId="0" quotePrefix="1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/>
    </xf>
    <xf numFmtId="0" fontId="6" fillId="0" borderId="8" xfId="0" quotePrefix="1" applyFont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8" fillId="0" borderId="1" xfId="1" applyNumberFormat="1" applyFont="1" applyBorder="1" applyAlignment="1">
      <alignment horizontal="left" vertical="top"/>
    </xf>
    <xf numFmtId="164" fontId="8" fillId="0" borderId="8" xfId="1" applyNumberFormat="1" applyFont="1" applyBorder="1" applyAlignment="1">
      <alignment horizontal="left" vertical="top"/>
    </xf>
    <xf numFmtId="0" fontId="9" fillId="7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164" fontId="9" fillId="8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/>
    </xf>
    <xf numFmtId="164" fontId="9" fillId="9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top"/>
    </xf>
    <xf numFmtId="164" fontId="9" fillId="6" borderId="1" xfId="0" applyNumberFormat="1" applyFont="1" applyFill="1" applyBorder="1" applyAlignment="1">
      <alignment vertical="top"/>
    </xf>
    <xf numFmtId="0" fontId="10" fillId="0" borderId="1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6" fillId="10" borderId="1" xfId="0" quotePrefix="1" applyFont="1" applyFill="1" applyBorder="1" applyAlignment="1">
      <alignment horizontal="left" vertical="top"/>
    </xf>
    <xf numFmtId="0" fontId="6" fillId="10" borderId="8" xfId="0" quotePrefix="1" applyFont="1" applyFill="1" applyBorder="1" applyAlignment="1">
      <alignment horizontal="left" vertical="top"/>
    </xf>
    <xf numFmtId="0" fontId="6" fillId="11" borderId="1" xfId="0" quotePrefix="1" applyFont="1" applyFill="1" applyBorder="1" applyAlignment="1">
      <alignment horizontal="left" vertical="top"/>
    </xf>
    <xf numFmtId="0" fontId="6" fillId="11" borderId="8" xfId="0" quotePrefix="1" applyFont="1" applyFill="1" applyBorder="1" applyAlignment="1">
      <alignment horizontal="left" vertical="top"/>
    </xf>
    <xf numFmtId="0" fontId="6" fillId="12" borderId="1" xfId="0" quotePrefix="1" applyFont="1" applyFill="1" applyBorder="1" applyAlignment="1">
      <alignment horizontal="left" vertical="top"/>
    </xf>
    <xf numFmtId="0" fontId="6" fillId="12" borderId="1" xfId="0" applyFont="1" applyFill="1" applyBorder="1" applyAlignment="1">
      <alignment horizontal="left" vertical="top"/>
    </xf>
    <xf numFmtId="0" fontId="6" fillId="12" borderId="8" xfId="0" quotePrefix="1" applyFont="1" applyFill="1" applyBorder="1" applyAlignment="1">
      <alignment horizontal="left" vertical="top"/>
    </xf>
    <xf numFmtId="0" fontId="12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4" fillId="6" borderId="0" xfId="0" applyFont="1" applyFill="1" applyAlignment="1">
      <alignment horizontal="left" vertical="center"/>
    </xf>
  </cellXfs>
  <cellStyles count="2">
    <cellStyle name="Currency" xfId="1" builtinId="4"/>
    <cellStyle name="Normal" xfId="0" builtinId="0"/>
  </cellStyles>
  <dxfs count="31">
    <dxf>
      <font>
        <strike val="0"/>
        <outline val="0"/>
        <shadow val="0"/>
        <u val="none"/>
        <vertAlign val="baseline"/>
        <sz val="14"/>
        <color theme="1"/>
        <name val="Arial Narrow"/>
        <family val="2"/>
        <charset val="16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 Narrow"/>
        <family val="2"/>
        <charset val="16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0"/>
        <color theme="1"/>
        <name val="Arial Narrow"/>
        <family val="2"/>
        <charset val="162"/>
        <scheme val="none"/>
      </font>
      <numFmt numFmtId="0" formatCode="General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Arial Narrow"/>
        <family val="2"/>
        <charset val="162"/>
        <scheme val="none"/>
      </font>
      <numFmt numFmtId="164" formatCode="_-[$$-409]* #,##0.00_ ;_-[$$-409]* \-#,##0.00\ ;_-[$$-409]* &quot;-&quot;??_ ;_-@_ 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6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6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 Narrow"/>
        <family val="2"/>
        <charset val="162"/>
        <scheme val="none"/>
      </font>
      <fill>
        <patternFill patternType="solid">
          <fgColor indexed="64"/>
          <bgColor theme="5" tint="0.5999938962981048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 Narrow"/>
        <family val="2"/>
        <charset val="162"/>
        <scheme val="none"/>
      </font>
      <fill>
        <patternFill patternType="solid">
          <fgColor indexed="64"/>
          <bgColor theme="5" tint="0.5999938962981048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 Narrow"/>
        <family val="2"/>
        <charset val="162"/>
        <scheme val="none"/>
      </font>
      <fill>
        <patternFill patternType="solid">
          <fgColor indexed="64"/>
          <bgColor theme="6" tint="0.3999755851924192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 Narrow"/>
        <family val="2"/>
        <charset val="16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 Narrow"/>
        <family val="2"/>
        <charset val="162"/>
        <scheme val="none"/>
      </font>
      <fill>
        <patternFill patternType="solid">
          <fgColor indexed="64"/>
          <bgColor theme="8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Narrow"/>
        <family val="2"/>
        <charset val="16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 Narrow"/>
        <family val="2"/>
        <charset val="16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 Narrow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 Narrow"/>
        <family val="2"/>
        <charset val="162"/>
        <scheme val="none"/>
      </font>
      <alignment horizontal="left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 Black"/>
        <family val="2"/>
        <charset val="162"/>
        <scheme val="none"/>
      </font>
      <fill>
        <patternFill patternType="solid">
          <fgColor indexed="64"/>
          <bgColor indexed="13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A839F8-DA07-44EE-A528-F3D73313B266}" name="Table1" displayName="Table1" ref="A2:N58" totalsRowShown="0" headerRowDxfId="18" dataDxfId="16" headerRowBorderDxfId="17" tableBorderDxfId="15" totalsRowBorderDxfId="14">
  <autoFilter ref="A2:N58" xr:uid="{67DCC7FF-A157-4746-AFBB-68FB74EBD4FF}"/>
  <tableColumns count="14">
    <tableColumn id="1" xr3:uid="{DC8BD5C0-B563-4939-A678-1068C10E26C7}" name="Item #" dataDxfId="13"/>
    <tableColumn id="3" xr3:uid="{FE48403A-8B8E-47C8-92FB-5C4572417945}" name="Distributor" dataDxfId="12"/>
    <tableColumn id="17" xr3:uid="{F861A5C8-85AF-4101-A365-F9CC52027D00}" name="Manufucture" dataDxfId="11"/>
    <tableColumn id="4" xr3:uid="{4431AD67-EAF5-4BDB-8AD0-FD6E054A7AF3}" name="*Mfg Part #" dataDxfId="10"/>
    <tableColumn id="5" xr3:uid="{FDD0AAC6-7D52-4C2A-92CC-995C0A0EB046}" name="*Designator" dataDxfId="9"/>
    <tableColumn id="6" xr3:uid="{8DD496B8-03D1-4F4C-B835-E41F711F906F}" name="Description / Value" dataDxfId="8"/>
    <tableColumn id="7" xr3:uid="{0B604321-55BC-43D4-ACA8-3BCD9F53570E}" name="*Package/Footprint" dataDxfId="7"/>
    <tableColumn id="8" xr3:uid="{5996D8DC-5E95-46FE-819B-1248EE8C44D0}" name="LibRef" dataDxfId="6"/>
    <tableColumn id="9" xr3:uid="{EBD82DC4-3BE6-4408-9F4C-41F051E4221A}" name="*Qty" dataDxfId="5"/>
    <tableColumn id="14" xr3:uid="{E176F024-BD80-47B8-8F8B-5991CDC410A8}" name="Talep" dataDxfId="4"/>
    <tableColumn id="10" xr3:uid="{312FB44A-B09F-4DFE-AE9D-9686D0B5A3A4}" name="*Unit Price(1sets)" dataDxfId="3" dataCellStyle="Currency"/>
    <tableColumn id="11" xr3:uid="{8EF2A1DC-7C5E-432E-B565-49C891AEAEFB}" name="*Total" dataDxfId="2">
      <calculatedColumnFormula>Table1[[#This Row],[Talep]]*Table1[[#This Row],[*Unit Price(1sets)]]</calculatedColumnFormula>
    </tableColumn>
    <tableColumn id="12" xr3:uid="{A667B7F0-8C38-475D-A682-C33774C2F795}" name="*Delivery Time" dataDxfId="1"/>
    <tableColumn id="13" xr3:uid="{B2E73D07-EE33-40FD-A6EE-3D3723473796}" name="* Note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AD36-21CC-4EB5-9335-0160DDED210D}">
  <dimension ref="A1:P85"/>
  <sheetViews>
    <sheetView tabSelected="1" topLeftCell="F40" zoomScale="40" zoomScaleNormal="40" workbookViewId="0">
      <selection activeCell="M78" sqref="M78"/>
    </sheetView>
  </sheetViews>
  <sheetFormatPr defaultRowHeight="14.4" x14ac:dyDescent="0.3"/>
  <cols>
    <col min="1" max="1" width="36" style="7" customWidth="1"/>
    <col min="2" max="3" width="53.5546875" customWidth="1"/>
    <col min="4" max="4" width="66.21875" customWidth="1"/>
    <col min="5" max="5" width="51.88671875" customWidth="1"/>
    <col min="6" max="6" width="72.109375" customWidth="1"/>
    <col min="7" max="7" width="57.109375" customWidth="1"/>
    <col min="8" max="8" width="52.44140625" customWidth="1"/>
    <col min="9" max="9" width="27.33203125" customWidth="1"/>
    <col min="10" max="10" width="33.21875" customWidth="1"/>
    <col min="11" max="11" width="15.88671875" customWidth="1"/>
    <col min="12" max="12" width="13.109375" customWidth="1"/>
    <col min="13" max="13" width="49.5546875" customWidth="1"/>
    <col min="14" max="14" width="89.33203125" customWidth="1"/>
    <col min="15" max="15" width="22" customWidth="1"/>
    <col min="16" max="16" width="29.109375" customWidth="1"/>
  </cols>
  <sheetData>
    <row r="1" spans="1:16" s="1" customFormat="1" ht="84" customHeight="1" x14ac:dyDescent="0.3">
      <c r="A1" s="44" t="s">
        <v>226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19"/>
      <c r="P1" s="19"/>
    </row>
    <row r="2" spans="1:16" s="2" customFormat="1" ht="46.8" customHeight="1" x14ac:dyDescent="0.3">
      <c r="A2" s="6" t="s">
        <v>223</v>
      </c>
      <c r="B2" s="8" t="s">
        <v>224</v>
      </c>
      <c r="C2" s="8" t="s">
        <v>241</v>
      </c>
      <c r="D2" s="3" t="s">
        <v>227</v>
      </c>
      <c r="E2" s="3" t="s">
        <v>228</v>
      </c>
      <c r="F2" s="8" t="s">
        <v>225</v>
      </c>
      <c r="G2" s="3" t="s">
        <v>229</v>
      </c>
      <c r="H2" s="9" t="s">
        <v>0</v>
      </c>
      <c r="I2" s="3" t="s">
        <v>230</v>
      </c>
      <c r="J2" s="18" t="s">
        <v>237</v>
      </c>
      <c r="K2" s="8" t="s">
        <v>267</v>
      </c>
      <c r="L2" s="8" t="s">
        <v>231</v>
      </c>
      <c r="M2" s="3" t="s">
        <v>232</v>
      </c>
      <c r="N2" s="4" t="s">
        <v>233</v>
      </c>
    </row>
    <row r="3" spans="1:16" ht="25.2" x14ac:dyDescent="0.3">
      <c r="A3" s="10">
        <v>1</v>
      </c>
      <c r="B3" s="11" t="s">
        <v>235</v>
      </c>
      <c r="C3" s="11" t="s">
        <v>281</v>
      </c>
      <c r="D3" s="38" t="s">
        <v>1</v>
      </c>
      <c r="E3" s="12" t="s">
        <v>3</v>
      </c>
      <c r="F3" s="34" t="s">
        <v>2</v>
      </c>
      <c r="G3" s="36" t="s">
        <v>4</v>
      </c>
      <c r="H3" s="36" t="s">
        <v>1</v>
      </c>
      <c r="I3" s="32">
        <v>1</v>
      </c>
      <c r="J3" s="32">
        <v>1</v>
      </c>
      <c r="K3" s="22">
        <v>7.99</v>
      </c>
      <c r="L3" s="20">
        <f>Table1[[#This Row],[Talep]]*Table1[[#This Row],[*Unit Price(1sets)]]</f>
        <v>7.99</v>
      </c>
      <c r="M3" s="11"/>
    </row>
    <row r="4" spans="1:16" ht="25.2" x14ac:dyDescent="0.3">
      <c r="A4" s="10">
        <v>2</v>
      </c>
      <c r="B4" s="11" t="s">
        <v>234</v>
      </c>
      <c r="C4" s="11" t="s">
        <v>268</v>
      </c>
      <c r="D4" s="38" t="s">
        <v>5</v>
      </c>
      <c r="E4" s="12" t="s">
        <v>7</v>
      </c>
      <c r="F4" s="34" t="s">
        <v>6</v>
      </c>
      <c r="G4" s="36" t="s">
        <v>8</v>
      </c>
      <c r="H4" s="36" t="s">
        <v>9</v>
      </c>
      <c r="I4" s="32">
        <v>1</v>
      </c>
      <c r="J4" s="32">
        <v>50</v>
      </c>
      <c r="K4" s="22">
        <v>6.0000000000000001E-3</v>
      </c>
      <c r="L4" s="20">
        <f>Table1[[#This Row],[Talep]]*Table1[[#This Row],[*Unit Price(1sets)]]</f>
        <v>0.3</v>
      </c>
      <c r="M4" s="11"/>
    </row>
    <row r="5" spans="1:16" ht="25.2" x14ac:dyDescent="0.3">
      <c r="A5" s="10">
        <v>3</v>
      </c>
      <c r="B5" s="11" t="s">
        <v>234</v>
      </c>
      <c r="C5" s="11" t="s">
        <v>257</v>
      </c>
      <c r="D5" s="39" t="s">
        <v>236</v>
      </c>
      <c r="E5" s="12" t="s">
        <v>12</v>
      </c>
      <c r="F5" s="34" t="s">
        <v>11</v>
      </c>
      <c r="G5" s="36" t="s">
        <v>8</v>
      </c>
      <c r="H5" s="36" t="s">
        <v>9</v>
      </c>
      <c r="I5" s="32">
        <v>3</v>
      </c>
      <c r="J5" s="32">
        <v>50</v>
      </c>
      <c r="K5" s="22">
        <v>5.0000000000000001E-3</v>
      </c>
      <c r="L5" s="20">
        <f>Table1[[#This Row],[Talep]]*Table1[[#This Row],[*Unit Price(1sets)]]</f>
        <v>0.25</v>
      </c>
      <c r="M5" s="11"/>
      <c r="N5" s="12" t="s">
        <v>10</v>
      </c>
    </row>
    <row r="6" spans="1:16" ht="25.2" x14ac:dyDescent="0.3">
      <c r="A6" s="10">
        <v>4</v>
      </c>
      <c r="B6" s="11" t="s">
        <v>234</v>
      </c>
      <c r="C6" s="11" t="s">
        <v>268</v>
      </c>
      <c r="D6" s="38" t="s">
        <v>13</v>
      </c>
      <c r="E6" s="12" t="s">
        <v>15</v>
      </c>
      <c r="F6" s="34" t="s">
        <v>14</v>
      </c>
      <c r="G6" s="36" t="s">
        <v>9</v>
      </c>
      <c r="H6" s="36" t="s">
        <v>9</v>
      </c>
      <c r="I6" s="32">
        <v>4</v>
      </c>
      <c r="J6" s="32">
        <v>10</v>
      </c>
      <c r="K6" s="22">
        <v>0.23</v>
      </c>
      <c r="L6" s="20">
        <f>Table1[[#This Row],[Talep]]*Table1[[#This Row],[*Unit Price(1sets)]]</f>
        <v>2.3000000000000003</v>
      </c>
      <c r="M6" s="11"/>
    </row>
    <row r="7" spans="1:16" ht="25.2" x14ac:dyDescent="0.3">
      <c r="A7" s="10">
        <v>5</v>
      </c>
      <c r="B7" s="11" t="s">
        <v>234</v>
      </c>
      <c r="C7" s="11" t="s">
        <v>268</v>
      </c>
      <c r="D7" s="38" t="s">
        <v>16</v>
      </c>
      <c r="E7" s="12" t="s">
        <v>18</v>
      </c>
      <c r="F7" s="34" t="s">
        <v>17</v>
      </c>
      <c r="G7" s="36" t="s">
        <v>9</v>
      </c>
      <c r="H7" s="36" t="s">
        <v>9</v>
      </c>
      <c r="I7" s="32">
        <v>1</v>
      </c>
      <c r="J7" s="32">
        <v>50</v>
      </c>
      <c r="K7" s="22">
        <v>5.0000000000000001E-3</v>
      </c>
      <c r="L7" s="20">
        <f>Table1[[#This Row],[Talep]]*Table1[[#This Row],[*Unit Price(1sets)]]</f>
        <v>0.25</v>
      </c>
      <c r="M7" s="11"/>
    </row>
    <row r="8" spans="1:16" ht="25.2" x14ac:dyDescent="0.3">
      <c r="A8" s="10">
        <v>6</v>
      </c>
      <c r="B8" s="11" t="s">
        <v>234</v>
      </c>
      <c r="C8" s="11" t="s">
        <v>268</v>
      </c>
      <c r="D8" s="38" t="s">
        <v>19</v>
      </c>
      <c r="E8" s="12" t="s">
        <v>21</v>
      </c>
      <c r="F8" s="34" t="s">
        <v>20</v>
      </c>
      <c r="G8" s="36" t="s">
        <v>9</v>
      </c>
      <c r="H8" s="36" t="s">
        <v>9</v>
      </c>
      <c r="I8" s="32">
        <v>1</v>
      </c>
      <c r="J8" s="32">
        <v>50</v>
      </c>
      <c r="K8" s="22">
        <v>4.0000000000000001E-3</v>
      </c>
      <c r="L8" s="20">
        <f>Table1[[#This Row],[Talep]]*Table1[[#This Row],[*Unit Price(1sets)]]</f>
        <v>0.2</v>
      </c>
      <c r="M8" s="11"/>
    </row>
    <row r="9" spans="1:16" ht="25.2" x14ac:dyDescent="0.3">
      <c r="A9" s="10">
        <v>7</v>
      </c>
      <c r="B9" s="11" t="s">
        <v>234</v>
      </c>
      <c r="C9" s="11" t="s">
        <v>268</v>
      </c>
      <c r="D9" s="38" t="s">
        <v>22</v>
      </c>
      <c r="E9" s="12" t="s">
        <v>24</v>
      </c>
      <c r="F9" s="34" t="s">
        <v>23</v>
      </c>
      <c r="G9" s="36" t="s">
        <v>9</v>
      </c>
      <c r="H9" s="36" t="s">
        <v>9</v>
      </c>
      <c r="I9" s="32">
        <v>1</v>
      </c>
      <c r="J9" s="32">
        <v>5</v>
      </c>
      <c r="K9" s="22">
        <v>0.05</v>
      </c>
      <c r="L9" s="20">
        <f>Table1[[#This Row],[Talep]]*Table1[[#This Row],[*Unit Price(1sets)]]</f>
        <v>0.25</v>
      </c>
      <c r="M9" s="11"/>
    </row>
    <row r="10" spans="1:16" ht="25.2" x14ac:dyDescent="0.3">
      <c r="A10" s="10">
        <v>8</v>
      </c>
      <c r="B10" s="11" t="s">
        <v>234</v>
      </c>
      <c r="C10" s="11" t="s">
        <v>269</v>
      </c>
      <c r="D10" s="38" t="s">
        <v>25</v>
      </c>
      <c r="E10" s="12" t="s">
        <v>27</v>
      </c>
      <c r="F10" s="34" t="s">
        <v>26</v>
      </c>
      <c r="G10" s="36" t="s">
        <v>28</v>
      </c>
      <c r="H10" s="36" t="s">
        <v>29</v>
      </c>
      <c r="I10" s="32">
        <v>1</v>
      </c>
      <c r="J10" s="32">
        <v>5</v>
      </c>
      <c r="K10" s="22">
        <v>0.06</v>
      </c>
      <c r="L10" s="20">
        <f>Table1[[#This Row],[Talep]]*Table1[[#This Row],[*Unit Price(1sets)]]</f>
        <v>0.3</v>
      </c>
      <c r="M10" s="11"/>
    </row>
    <row r="11" spans="1:16" ht="25.2" x14ac:dyDescent="0.3">
      <c r="A11" s="10">
        <v>9</v>
      </c>
      <c r="B11" s="11" t="s">
        <v>234</v>
      </c>
      <c r="C11" s="11" t="s">
        <v>270</v>
      </c>
      <c r="D11" s="38" t="s">
        <v>30</v>
      </c>
      <c r="E11" s="12" t="s">
        <v>32</v>
      </c>
      <c r="F11" s="34" t="s">
        <v>31</v>
      </c>
      <c r="G11" s="36" t="s">
        <v>33</v>
      </c>
      <c r="H11" s="36" t="s">
        <v>34</v>
      </c>
      <c r="I11" s="32">
        <v>1</v>
      </c>
      <c r="J11" s="32"/>
      <c r="K11" s="22">
        <v>3.5000000000000003E-2</v>
      </c>
      <c r="L11" s="20">
        <f>Table1[[#This Row],[Talep]]*Table1[[#This Row],[*Unit Price(1sets)]]</f>
        <v>0</v>
      </c>
      <c r="M11" s="11"/>
    </row>
    <row r="12" spans="1:16" ht="31.2" customHeight="1" x14ac:dyDescent="0.3">
      <c r="A12" s="10">
        <v>10</v>
      </c>
      <c r="B12" s="11" t="s">
        <v>235</v>
      </c>
      <c r="C12" s="11" t="s">
        <v>266</v>
      </c>
      <c r="D12" s="38" t="s">
        <v>35</v>
      </c>
      <c r="E12" s="12" t="s">
        <v>37</v>
      </c>
      <c r="F12" s="34" t="s">
        <v>36</v>
      </c>
      <c r="G12" s="36" t="s">
        <v>38</v>
      </c>
      <c r="H12" s="36" t="s">
        <v>35</v>
      </c>
      <c r="I12" s="32">
        <v>1</v>
      </c>
      <c r="J12" s="32"/>
      <c r="K12" s="22">
        <v>0.26</v>
      </c>
      <c r="L12" s="20">
        <f>Table1[[#This Row],[Talep]]*Table1[[#This Row],[*Unit Price(1sets)]]</f>
        <v>0</v>
      </c>
      <c r="M12" s="11"/>
    </row>
    <row r="13" spans="1:16" ht="25.2" x14ac:dyDescent="0.3">
      <c r="A13" s="10">
        <v>11</v>
      </c>
      <c r="B13" s="11" t="s">
        <v>234</v>
      </c>
      <c r="C13" s="11" t="s">
        <v>271</v>
      </c>
      <c r="D13" s="38" t="s">
        <v>39</v>
      </c>
      <c r="E13" s="12" t="s">
        <v>41</v>
      </c>
      <c r="F13" s="34" t="s">
        <v>40</v>
      </c>
      <c r="G13" s="36" t="s">
        <v>42</v>
      </c>
      <c r="H13" s="36" t="s">
        <v>43</v>
      </c>
      <c r="I13" s="32">
        <v>2</v>
      </c>
      <c r="J13" s="32"/>
      <c r="K13" s="22">
        <v>0.05</v>
      </c>
      <c r="L13" s="20">
        <f>Table1[[#This Row],[Talep]]*Table1[[#This Row],[*Unit Price(1sets)]]</f>
        <v>0</v>
      </c>
      <c r="M13" s="11"/>
    </row>
    <row r="14" spans="1:16" ht="25.2" x14ac:dyDescent="0.3">
      <c r="A14" s="10">
        <v>12</v>
      </c>
      <c r="B14" s="11" t="s">
        <v>234</v>
      </c>
      <c r="C14" s="11" t="s">
        <v>272</v>
      </c>
      <c r="D14" s="39" t="s">
        <v>238</v>
      </c>
      <c r="E14" s="12" t="s">
        <v>46</v>
      </c>
      <c r="F14" s="34" t="s">
        <v>45</v>
      </c>
      <c r="G14" s="36" t="s">
        <v>47</v>
      </c>
      <c r="H14" s="36" t="s">
        <v>48</v>
      </c>
      <c r="I14" s="32">
        <v>1</v>
      </c>
      <c r="J14" s="32"/>
      <c r="K14" s="22">
        <v>9.2999999999999999E-2</v>
      </c>
      <c r="L14" s="20">
        <f>Table1[[#This Row],[Talep]]*Table1[[#This Row],[*Unit Price(1sets)]]</f>
        <v>0</v>
      </c>
      <c r="M14" s="11"/>
      <c r="N14" s="17" t="s">
        <v>44</v>
      </c>
    </row>
    <row r="15" spans="1:16" ht="25.2" x14ac:dyDescent="0.3">
      <c r="A15" s="10">
        <v>13</v>
      </c>
      <c r="B15" s="11" t="s">
        <v>235</v>
      </c>
      <c r="C15" s="11" t="s">
        <v>273</v>
      </c>
      <c r="D15" s="38" t="s">
        <v>49</v>
      </c>
      <c r="E15" s="12" t="s">
        <v>51</v>
      </c>
      <c r="F15" s="34" t="s">
        <v>50</v>
      </c>
      <c r="G15" s="36" t="s">
        <v>52</v>
      </c>
      <c r="H15" s="36" t="s">
        <v>49</v>
      </c>
      <c r="I15" s="32">
        <v>2</v>
      </c>
      <c r="J15" s="32"/>
      <c r="K15" s="22">
        <v>10.71</v>
      </c>
      <c r="L15" s="20">
        <f>Table1[[#This Row],[Talep]]*Table1[[#This Row],[*Unit Price(1sets)]]</f>
        <v>0</v>
      </c>
      <c r="M15" s="11"/>
    </row>
    <row r="16" spans="1:16" ht="25.2" x14ac:dyDescent="0.3">
      <c r="A16" s="10">
        <v>14</v>
      </c>
      <c r="B16" s="11" t="s">
        <v>234</v>
      </c>
      <c r="C16" s="11" t="s">
        <v>240</v>
      </c>
      <c r="D16" s="38" t="s">
        <v>53</v>
      </c>
      <c r="E16" s="12" t="s">
        <v>55</v>
      </c>
      <c r="F16" s="34" t="s">
        <v>54</v>
      </c>
      <c r="G16" s="36" t="s">
        <v>56</v>
      </c>
      <c r="H16" s="36" t="s">
        <v>53</v>
      </c>
      <c r="I16" s="32">
        <v>1</v>
      </c>
      <c r="J16" s="32"/>
      <c r="K16" s="22">
        <v>0.46</v>
      </c>
      <c r="L16" s="20">
        <f>Table1[[#This Row],[Talep]]*Table1[[#This Row],[*Unit Price(1sets)]]</f>
        <v>0</v>
      </c>
      <c r="M16" s="11"/>
    </row>
    <row r="17" spans="1:14" ht="25.2" x14ac:dyDescent="0.3">
      <c r="A17" s="10">
        <v>15</v>
      </c>
      <c r="B17" s="11" t="s">
        <v>234</v>
      </c>
      <c r="C17" s="11" t="s">
        <v>240</v>
      </c>
      <c r="D17" s="39" t="s">
        <v>239</v>
      </c>
      <c r="E17" s="12" t="s">
        <v>59</v>
      </c>
      <c r="F17" s="34" t="s">
        <v>58</v>
      </c>
      <c r="G17" s="36" t="s">
        <v>60</v>
      </c>
      <c r="H17" s="36" t="s">
        <v>61</v>
      </c>
      <c r="I17" s="32">
        <v>3</v>
      </c>
      <c r="J17" s="32"/>
      <c r="K17" s="22">
        <v>2.1000000000000001E-2</v>
      </c>
      <c r="L17" s="20">
        <f>Table1[[#This Row],[Talep]]*Table1[[#This Row],[*Unit Price(1sets)]]</f>
        <v>0</v>
      </c>
      <c r="M17" s="11"/>
      <c r="N17" s="16" t="s">
        <v>57</v>
      </c>
    </row>
    <row r="18" spans="1:14" ht="25.2" x14ac:dyDescent="0.3">
      <c r="A18" s="10">
        <v>16</v>
      </c>
      <c r="B18" s="11" t="s">
        <v>234</v>
      </c>
      <c r="C18" s="11" t="s">
        <v>240</v>
      </c>
      <c r="D18" s="38" t="s">
        <v>62</v>
      </c>
      <c r="E18" s="12" t="s">
        <v>64</v>
      </c>
      <c r="F18" s="34" t="s">
        <v>63</v>
      </c>
      <c r="G18" s="36" t="s">
        <v>65</v>
      </c>
      <c r="H18" s="36" t="s">
        <v>66</v>
      </c>
      <c r="I18" s="32">
        <v>5</v>
      </c>
      <c r="J18" s="32">
        <v>10</v>
      </c>
      <c r="K18" s="22">
        <v>1.2E-2</v>
      </c>
      <c r="L18" s="20">
        <f>Table1[[#This Row],[Talep]]*Table1[[#This Row],[*Unit Price(1sets)]]</f>
        <v>0.12</v>
      </c>
      <c r="M18" s="11"/>
    </row>
    <row r="19" spans="1:14" ht="25.2" x14ac:dyDescent="0.3">
      <c r="A19" s="10">
        <v>17</v>
      </c>
      <c r="B19" s="11" t="s">
        <v>234</v>
      </c>
      <c r="C19" s="11" t="s">
        <v>242</v>
      </c>
      <c r="D19" s="38" t="s">
        <v>67</v>
      </c>
      <c r="E19" s="12" t="s">
        <v>69</v>
      </c>
      <c r="F19" s="34" t="s">
        <v>68</v>
      </c>
      <c r="G19" s="36" t="s">
        <v>70</v>
      </c>
      <c r="H19" s="36" t="s">
        <v>70</v>
      </c>
      <c r="I19" s="32">
        <v>1</v>
      </c>
      <c r="J19" s="32"/>
      <c r="K19" s="22">
        <v>0.03</v>
      </c>
      <c r="L19" s="20">
        <f>Table1[[#This Row],[Talep]]*Table1[[#This Row],[*Unit Price(1sets)]]</f>
        <v>0</v>
      </c>
      <c r="M19" s="11"/>
    </row>
    <row r="20" spans="1:14" ht="25.2" x14ac:dyDescent="0.3">
      <c r="A20" s="10">
        <v>18</v>
      </c>
      <c r="B20" s="11" t="s">
        <v>234</v>
      </c>
      <c r="C20" s="11" t="s">
        <v>240</v>
      </c>
      <c r="D20" s="39" t="s">
        <v>243</v>
      </c>
      <c r="E20" s="12" t="s">
        <v>73</v>
      </c>
      <c r="F20" s="34" t="s">
        <v>72</v>
      </c>
      <c r="G20" s="36" t="s">
        <v>60</v>
      </c>
      <c r="H20" s="36" t="s">
        <v>74</v>
      </c>
      <c r="I20" s="32">
        <v>1</v>
      </c>
      <c r="J20" s="32"/>
      <c r="K20" s="22">
        <v>8.0000000000000002E-3</v>
      </c>
      <c r="L20" s="20">
        <f>Table1[[#This Row],[Talep]]*Table1[[#This Row],[*Unit Price(1sets)]]</f>
        <v>0</v>
      </c>
      <c r="M20" s="11"/>
      <c r="N20" s="17" t="s">
        <v>71</v>
      </c>
    </row>
    <row r="21" spans="1:14" ht="25.2" x14ac:dyDescent="0.3">
      <c r="A21" s="10">
        <v>19</v>
      </c>
      <c r="B21" s="11" t="s">
        <v>234</v>
      </c>
      <c r="C21" s="11" t="s">
        <v>244</v>
      </c>
      <c r="D21" s="38" t="s">
        <v>75</v>
      </c>
      <c r="E21" s="12" t="s">
        <v>77</v>
      </c>
      <c r="F21" s="34" t="s">
        <v>76</v>
      </c>
      <c r="G21" s="36" t="s">
        <v>78</v>
      </c>
      <c r="H21" s="36" t="s">
        <v>78</v>
      </c>
      <c r="I21" s="32">
        <v>2</v>
      </c>
      <c r="J21" s="32"/>
      <c r="K21" s="22">
        <v>2.4E-2</v>
      </c>
      <c r="L21" s="20">
        <f>Table1[[#This Row],[Talep]]*Table1[[#This Row],[*Unit Price(1sets)]]</f>
        <v>0</v>
      </c>
      <c r="M21" s="11"/>
    </row>
    <row r="22" spans="1:14" ht="25.2" x14ac:dyDescent="0.3">
      <c r="A22" s="10">
        <v>20</v>
      </c>
      <c r="B22" s="11" t="s">
        <v>234</v>
      </c>
      <c r="C22" s="11" t="s">
        <v>240</v>
      </c>
      <c r="D22" s="38" t="s">
        <v>245</v>
      </c>
      <c r="E22" s="12" t="s">
        <v>81</v>
      </c>
      <c r="F22" s="34" t="s">
        <v>80</v>
      </c>
      <c r="G22" s="36" t="s">
        <v>82</v>
      </c>
      <c r="H22" s="36" t="s">
        <v>83</v>
      </c>
      <c r="I22" s="32">
        <v>1</v>
      </c>
      <c r="J22" s="32"/>
      <c r="K22" s="22">
        <v>7.0000000000000007E-2</v>
      </c>
      <c r="L22" s="20">
        <f>Table1[[#This Row],[Talep]]*Table1[[#This Row],[*Unit Price(1sets)]]</f>
        <v>0</v>
      </c>
      <c r="M22" s="11"/>
      <c r="N22" s="17" t="s">
        <v>79</v>
      </c>
    </row>
    <row r="23" spans="1:14" ht="19.8" customHeight="1" x14ac:dyDescent="0.3">
      <c r="A23" s="10">
        <v>21</v>
      </c>
      <c r="B23" s="11" t="s">
        <v>234</v>
      </c>
      <c r="C23" s="11" t="s">
        <v>246</v>
      </c>
      <c r="D23" s="38" t="s">
        <v>84</v>
      </c>
      <c r="E23" s="12" t="s">
        <v>86</v>
      </c>
      <c r="F23" s="34" t="s">
        <v>85</v>
      </c>
      <c r="G23" s="36" t="s">
        <v>87</v>
      </c>
      <c r="H23" s="36" t="s">
        <v>88</v>
      </c>
      <c r="I23" s="32">
        <v>1</v>
      </c>
      <c r="J23" s="32">
        <v>3</v>
      </c>
      <c r="K23" s="22">
        <v>3</v>
      </c>
      <c r="L23" s="20">
        <f>Table1[[#This Row],[Talep]]*Table1[[#This Row],[*Unit Price(1sets)]]</f>
        <v>9</v>
      </c>
      <c r="M23" s="11"/>
    </row>
    <row r="24" spans="1:14" ht="25.2" x14ac:dyDescent="0.3">
      <c r="A24" s="10">
        <v>22</v>
      </c>
      <c r="B24" s="11" t="s">
        <v>234</v>
      </c>
      <c r="C24" s="11" t="s">
        <v>247</v>
      </c>
      <c r="D24" s="38" t="s">
        <v>89</v>
      </c>
      <c r="E24" s="12" t="s">
        <v>91</v>
      </c>
      <c r="F24" s="34" t="s">
        <v>90</v>
      </c>
      <c r="G24" s="36" t="s">
        <v>92</v>
      </c>
      <c r="H24" s="36" t="s">
        <v>89</v>
      </c>
      <c r="I24" s="32">
        <v>1</v>
      </c>
      <c r="J24" s="32">
        <v>2</v>
      </c>
      <c r="K24" s="22">
        <v>0.747</v>
      </c>
      <c r="L24" s="20">
        <f>Table1[[#This Row],[Talep]]*Table1[[#This Row],[*Unit Price(1sets)]]</f>
        <v>1.494</v>
      </c>
      <c r="M24" s="11"/>
    </row>
    <row r="25" spans="1:14" ht="25.2" x14ac:dyDescent="0.3">
      <c r="A25" s="10">
        <v>23</v>
      </c>
      <c r="B25" s="11" t="s">
        <v>234</v>
      </c>
      <c r="C25" s="11" t="s">
        <v>247</v>
      </c>
      <c r="D25" s="38" t="s">
        <v>93</v>
      </c>
      <c r="E25" s="12" t="s">
        <v>95</v>
      </c>
      <c r="F25" s="34" t="s">
        <v>94</v>
      </c>
      <c r="G25" s="36" t="s">
        <v>96</v>
      </c>
      <c r="H25" s="36" t="s">
        <v>93</v>
      </c>
      <c r="I25" s="32">
        <v>1</v>
      </c>
      <c r="J25" s="32">
        <v>2</v>
      </c>
      <c r="K25" s="22">
        <v>0.23699999999999999</v>
      </c>
      <c r="L25" s="20">
        <f>Table1[[#This Row],[Talep]]*Table1[[#This Row],[*Unit Price(1sets)]]</f>
        <v>0.47399999999999998</v>
      </c>
      <c r="M25" s="11"/>
    </row>
    <row r="26" spans="1:14" ht="25.2" x14ac:dyDescent="0.3">
      <c r="A26" s="10">
        <v>24</v>
      </c>
      <c r="B26" s="11" t="s">
        <v>234</v>
      </c>
      <c r="C26" s="11" t="s">
        <v>248</v>
      </c>
      <c r="D26" s="38" t="s">
        <v>97</v>
      </c>
      <c r="E26" s="12" t="s">
        <v>99</v>
      </c>
      <c r="F26" s="34" t="s">
        <v>98</v>
      </c>
      <c r="G26" s="36" t="s">
        <v>97</v>
      </c>
      <c r="H26" s="36" t="s">
        <v>97</v>
      </c>
      <c r="I26" s="32">
        <v>1</v>
      </c>
      <c r="J26" s="32"/>
      <c r="K26" s="22">
        <v>1.03</v>
      </c>
      <c r="L26" s="20">
        <f>Table1[[#This Row],[Talep]]*Table1[[#This Row],[*Unit Price(1sets)]]</f>
        <v>0</v>
      </c>
      <c r="M26" s="11"/>
      <c r="N26" s="17" t="s">
        <v>249</v>
      </c>
    </row>
    <row r="27" spans="1:14" ht="25.2" x14ac:dyDescent="0.3">
      <c r="A27" s="10">
        <v>25</v>
      </c>
      <c r="B27" s="11" t="s">
        <v>234</v>
      </c>
      <c r="C27" s="11" t="s">
        <v>250</v>
      </c>
      <c r="D27" s="38" t="s">
        <v>100</v>
      </c>
      <c r="E27" s="12" t="s">
        <v>102</v>
      </c>
      <c r="F27" s="34" t="s">
        <v>101</v>
      </c>
      <c r="G27" s="36" t="s">
        <v>103</v>
      </c>
      <c r="H27" s="36" t="s">
        <v>104</v>
      </c>
      <c r="I27" s="32">
        <v>2</v>
      </c>
      <c r="J27" s="32"/>
      <c r="K27" s="22">
        <v>0.17</v>
      </c>
      <c r="L27" s="20">
        <f>Table1[[#This Row],[Talep]]*Table1[[#This Row],[*Unit Price(1sets)]]</f>
        <v>0</v>
      </c>
      <c r="M27" s="11"/>
    </row>
    <row r="28" spans="1:14" ht="25.2" x14ac:dyDescent="0.3">
      <c r="A28" s="10">
        <v>26</v>
      </c>
      <c r="B28" s="11" t="s">
        <v>235</v>
      </c>
      <c r="C28" s="11" t="s">
        <v>251</v>
      </c>
      <c r="D28" s="38" t="s">
        <v>105</v>
      </c>
      <c r="E28" s="12" t="s">
        <v>107</v>
      </c>
      <c r="F28" s="34" t="s">
        <v>106</v>
      </c>
      <c r="G28" s="36" t="s">
        <v>105</v>
      </c>
      <c r="H28" s="36" t="s">
        <v>105</v>
      </c>
      <c r="I28" s="32">
        <v>1</v>
      </c>
      <c r="J28" s="32">
        <v>2</v>
      </c>
      <c r="K28" s="22">
        <v>8.58</v>
      </c>
      <c r="L28" s="20">
        <f>Table1[[#This Row],[Talep]]*Table1[[#This Row],[*Unit Price(1sets)]]</f>
        <v>17.16</v>
      </c>
      <c r="M28" s="11"/>
      <c r="N28" s="5"/>
    </row>
    <row r="29" spans="1:14" ht="25.2" x14ac:dyDescent="0.3">
      <c r="A29" s="10">
        <v>28</v>
      </c>
      <c r="B29" s="11" t="s">
        <v>235</v>
      </c>
      <c r="C29" s="11" t="s">
        <v>252</v>
      </c>
      <c r="D29" s="38" t="s">
        <v>109</v>
      </c>
      <c r="E29" s="12" t="s">
        <v>111</v>
      </c>
      <c r="F29" s="34" t="s">
        <v>110</v>
      </c>
      <c r="G29" s="36" t="s">
        <v>112</v>
      </c>
      <c r="H29" s="36" t="s">
        <v>113</v>
      </c>
      <c r="I29" s="32">
        <v>1</v>
      </c>
      <c r="J29" s="32">
        <v>3</v>
      </c>
      <c r="K29" s="22">
        <v>0.64</v>
      </c>
      <c r="L29" s="20">
        <f>Table1[[#This Row],[Talep]]*Table1[[#This Row],[*Unit Price(1sets)]]</f>
        <v>1.92</v>
      </c>
      <c r="M29" s="11"/>
    </row>
    <row r="30" spans="1:14" ht="25.2" x14ac:dyDescent="0.3">
      <c r="A30" s="10">
        <v>29</v>
      </c>
      <c r="B30" s="11" t="s">
        <v>234</v>
      </c>
      <c r="C30" s="11" t="s">
        <v>253</v>
      </c>
      <c r="D30" s="38" t="s">
        <v>114</v>
      </c>
      <c r="E30" s="12" t="s">
        <v>116</v>
      </c>
      <c r="F30" s="34" t="s">
        <v>115</v>
      </c>
      <c r="G30" s="36" t="s">
        <v>117</v>
      </c>
      <c r="H30" s="36" t="s">
        <v>118</v>
      </c>
      <c r="I30" s="32">
        <v>1</v>
      </c>
      <c r="J30" s="32"/>
      <c r="K30" s="22">
        <v>0.04</v>
      </c>
      <c r="L30" s="20">
        <f>Table1[[#This Row],[Talep]]*Table1[[#This Row],[*Unit Price(1sets)]]</f>
        <v>0</v>
      </c>
      <c r="M30" s="11"/>
    </row>
    <row r="31" spans="1:14" ht="28.8" customHeight="1" x14ac:dyDescent="0.3">
      <c r="A31" s="10">
        <v>30</v>
      </c>
      <c r="B31" s="11" t="s">
        <v>234</v>
      </c>
      <c r="C31" s="11" t="s">
        <v>240</v>
      </c>
      <c r="D31" s="39" t="s">
        <v>254</v>
      </c>
      <c r="E31" s="12" t="s">
        <v>121</v>
      </c>
      <c r="F31" s="34" t="s">
        <v>120</v>
      </c>
      <c r="G31" s="36" t="s">
        <v>122</v>
      </c>
      <c r="H31" s="36" t="s">
        <v>123</v>
      </c>
      <c r="I31" s="32">
        <v>2</v>
      </c>
      <c r="J31" s="32"/>
      <c r="K31" s="22">
        <v>2.1000000000000001E-2</v>
      </c>
      <c r="L31" s="20">
        <f>Table1[[#This Row],[Talep]]*Table1[[#This Row],[*Unit Price(1sets)]]</f>
        <v>0</v>
      </c>
      <c r="M31" s="11"/>
      <c r="N31" s="17" t="s">
        <v>119</v>
      </c>
    </row>
    <row r="32" spans="1:14" ht="25.2" x14ac:dyDescent="0.3">
      <c r="A32" s="10">
        <v>31</v>
      </c>
      <c r="B32" s="11" t="s">
        <v>234</v>
      </c>
      <c r="C32" s="11" t="s">
        <v>255</v>
      </c>
      <c r="D32" s="38" t="s">
        <v>124</v>
      </c>
      <c r="E32" s="12" t="s">
        <v>126</v>
      </c>
      <c r="F32" s="34" t="s">
        <v>125</v>
      </c>
      <c r="G32" s="36" t="s">
        <v>127</v>
      </c>
      <c r="H32" s="36" t="s">
        <v>128</v>
      </c>
      <c r="I32" s="32">
        <v>2</v>
      </c>
      <c r="J32" s="32">
        <v>5</v>
      </c>
      <c r="K32" s="22">
        <v>1.296</v>
      </c>
      <c r="L32" s="20">
        <f>Table1[[#This Row],[Talep]]*Table1[[#This Row],[*Unit Price(1sets)]]</f>
        <v>6.48</v>
      </c>
      <c r="M32" s="11"/>
    </row>
    <row r="33" spans="1:14" ht="25.2" x14ac:dyDescent="0.3">
      <c r="A33" s="10">
        <v>32</v>
      </c>
      <c r="B33" s="11" t="s">
        <v>234</v>
      </c>
      <c r="C33" s="11" t="s">
        <v>256</v>
      </c>
      <c r="D33" s="38" t="s">
        <v>129</v>
      </c>
      <c r="E33" s="12" t="s">
        <v>131</v>
      </c>
      <c r="F33" s="34" t="s">
        <v>130</v>
      </c>
      <c r="G33" s="36" t="s">
        <v>132</v>
      </c>
      <c r="H33" s="36" t="s">
        <v>133</v>
      </c>
      <c r="I33" s="32">
        <v>1</v>
      </c>
      <c r="J33" s="32">
        <v>50</v>
      </c>
      <c r="K33" s="22">
        <v>5.0000000000000001E-3</v>
      </c>
      <c r="L33" s="20">
        <f>Table1[[#This Row],[Talep]]*Table1[[#This Row],[*Unit Price(1sets)]]</f>
        <v>0.25</v>
      </c>
      <c r="M33" s="11"/>
    </row>
    <row r="34" spans="1:14" ht="25.2" x14ac:dyDescent="0.3">
      <c r="A34" s="10">
        <v>33</v>
      </c>
      <c r="B34" s="11" t="s">
        <v>234</v>
      </c>
      <c r="C34" s="11" t="s">
        <v>257</v>
      </c>
      <c r="D34" s="38" t="s">
        <v>134</v>
      </c>
      <c r="E34" s="12" t="s">
        <v>136</v>
      </c>
      <c r="F34" s="34" t="s">
        <v>135</v>
      </c>
      <c r="G34" s="36" t="s">
        <v>132</v>
      </c>
      <c r="H34" s="36" t="s">
        <v>133</v>
      </c>
      <c r="I34" s="32">
        <v>5</v>
      </c>
      <c r="J34" s="32">
        <v>50</v>
      </c>
      <c r="K34" s="22">
        <v>5.0000000000000001E-3</v>
      </c>
      <c r="L34" s="20">
        <f>Table1[[#This Row],[Talep]]*Table1[[#This Row],[*Unit Price(1sets)]]</f>
        <v>0.25</v>
      </c>
      <c r="M34" s="11"/>
    </row>
    <row r="35" spans="1:14" ht="25.2" x14ac:dyDescent="0.3">
      <c r="A35" s="10">
        <v>34</v>
      </c>
      <c r="B35" s="11" t="s">
        <v>234</v>
      </c>
      <c r="C35" s="11" t="s">
        <v>258</v>
      </c>
      <c r="D35" s="38" t="s">
        <v>137</v>
      </c>
      <c r="E35" s="12" t="s">
        <v>139</v>
      </c>
      <c r="F35" s="34" t="s">
        <v>138</v>
      </c>
      <c r="G35" s="36" t="s">
        <v>140</v>
      </c>
      <c r="H35" s="36" t="s">
        <v>141</v>
      </c>
      <c r="I35" s="32">
        <v>1</v>
      </c>
      <c r="J35" s="32">
        <v>5</v>
      </c>
      <c r="K35" s="22">
        <v>0.12</v>
      </c>
      <c r="L35" s="20">
        <f>Table1[[#This Row],[Talep]]*Table1[[#This Row],[*Unit Price(1sets)]]</f>
        <v>0.6</v>
      </c>
      <c r="M35" s="11"/>
    </row>
    <row r="36" spans="1:14" ht="25.2" x14ac:dyDescent="0.3">
      <c r="A36" s="10">
        <v>35</v>
      </c>
      <c r="B36" s="11" t="s">
        <v>234</v>
      </c>
      <c r="C36" s="11" t="s">
        <v>240</v>
      </c>
      <c r="D36" s="38" t="s">
        <v>142</v>
      </c>
      <c r="E36" s="12" t="s">
        <v>144</v>
      </c>
      <c r="F36" s="34" t="s">
        <v>143</v>
      </c>
      <c r="G36" s="36" t="s">
        <v>132</v>
      </c>
      <c r="H36" s="36" t="s">
        <v>133</v>
      </c>
      <c r="I36" s="32">
        <v>1</v>
      </c>
      <c r="J36" s="32">
        <v>50</v>
      </c>
      <c r="K36" s="22">
        <v>1E-3</v>
      </c>
      <c r="L36" s="20">
        <f>Table1[[#This Row],[Talep]]*Table1[[#This Row],[*Unit Price(1sets)]]</f>
        <v>0.05</v>
      </c>
      <c r="M36" s="11"/>
    </row>
    <row r="37" spans="1:14" ht="25.2" x14ac:dyDescent="0.3">
      <c r="A37" s="10">
        <v>36</v>
      </c>
      <c r="B37" s="11" t="s">
        <v>234</v>
      </c>
      <c r="C37" s="11" t="s">
        <v>259</v>
      </c>
      <c r="D37" s="38" t="s">
        <v>145</v>
      </c>
      <c r="E37" s="12" t="s">
        <v>147</v>
      </c>
      <c r="F37" s="34" t="s">
        <v>146</v>
      </c>
      <c r="G37" s="36" t="s">
        <v>148</v>
      </c>
      <c r="H37" s="36" t="s">
        <v>149</v>
      </c>
      <c r="I37" s="32">
        <v>1</v>
      </c>
      <c r="J37" s="32">
        <v>2</v>
      </c>
      <c r="K37" s="22">
        <v>0.86399999999999999</v>
      </c>
      <c r="L37" s="20">
        <f>Table1[[#This Row],[Talep]]*Table1[[#This Row],[*Unit Price(1sets)]]</f>
        <v>1.728</v>
      </c>
      <c r="M37" s="11"/>
    </row>
    <row r="38" spans="1:14" ht="25.2" x14ac:dyDescent="0.3">
      <c r="A38" s="10">
        <v>37</v>
      </c>
      <c r="B38" s="11" t="s">
        <v>234</v>
      </c>
      <c r="C38" s="11" t="s">
        <v>260</v>
      </c>
      <c r="D38" s="38" t="s">
        <v>150</v>
      </c>
      <c r="E38" s="12" t="s">
        <v>152</v>
      </c>
      <c r="F38" s="34" t="s">
        <v>151</v>
      </c>
      <c r="G38" s="36" t="s">
        <v>132</v>
      </c>
      <c r="H38" s="36" t="s">
        <v>133</v>
      </c>
      <c r="I38" s="32">
        <v>1</v>
      </c>
      <c r="J38" s="32">
        <v>50</v>
      </c>
      <c r="K38" s="22">
        <v>5.0000000000000001E-3</v>
      </c>
      <c r="L38" s="20">
        <f>Table1[[#This Row],[Talep]]*Table1[[#This Row],[*Unit Price(1sets)]]</f>
        <v>0.25</v>
      </c>
      <c r="M38" s="11"/>
    </row>
    <row r="39" spans="1:14" ht="25.2" x14ac:dyDescent="0.3">
      <c r="A39" s="10">
        <v>38</v>
      </c>
      <c r="B39" s="11" t="s">
        <v>234</v>
      </c>
      <c r="C39" s="11" t="s">
        <v>257</v>
      </c>
      <c r="D39" s="38" t="s">
        <v>153</v>
      </c>
      <c r="E39" s="12" t="s">
        <v>155</v>
      </c>
      <c r="F39" s="34" t="s">
        <v>154</v>
      </c>
      <c r="G39" s="36" t="s">
        <v>156</v>
      </c>
      <c r="H39" s="36" t="s">
        <v>156</v>
      </c>
      <c r="I39" s="32">
        <v>1</v>
      </c>
      <c r="J39" s="32">
        <v>2</v>
      </c>
      <c r="K39" s="22">
        <v>0.63</v>
      </c>
      <c r="L39" s="20">
        <f>Table1[[#This Row],[Talep]]*Table1[[#This Row],[*Unit Price(1sets)]]</f>
        <v>1.26</v>
      </c>
      <c r="M39" s="11"/>
    </row>
    <row r="40" spans="1:14" ht="25.2" x14ac:dyDescent="0.3">
      <c r="A40" s="10">
        <v>39</v>
      </c>
      <c r="B40" s="11" t="s">
        <v>234</v>
      </c>
      <c r="C40" s="11" t="s">
        <v>256</v>
      </c>
      <c r="D40" s="38" t="s">
        <v>157</v>
      </c>
      <c r="E40" s="12" t="s">
        <v>159</v>
      </c>
      <c r="F40" s="34" t="s">
        <v>158</v>
      </c>
      <c r="G40" s="36" t="s">
        <v>132</v>
      </c>
      <c r="H40" s="36" t="s">
        <v>133</v>
      </c>
      <c r="I40" s="32">
        <v>2</v>
      </c>
      <c r="J40" s="32">
        <v>50</v>
      </c>
      <c r="K40" s="22">
        <v>5.0000000000000001E-3</v>
      </c>
      <c r="L40" s="20">
        <f>Table1[[#This Row],[Talep]]*Table1[[#This Row],[*Unit Price(1sets)]]</f>
        <v>0.25</v>
      </c>
      <c r="M40" s="11"/>
    </row>
    <row r="41" spans="1:14" ht="25.2" x14ac:dyDescent="0.3">
      <c r="A41" s="10">
        <v>40</v>
      </c>
      <c r="B41" s="11" t="s">
        <v>234</v>
      </c>
      <c r="C41" s="11" t="s">
        <v>257</v>
      </c>
      <c r="D41" s="38" t="s">
        <v>160</v>
      </c>
      <c r="E41" s="12" t="s">
        <v>162</v>
      </c>
      <c r="F41" s="34" t="s">
        <v>161</v>
      </c>
      <c r="G41" s="36" t="s">
        <v>132</v>
      </c>
      <c r="H41" s="36" t="s">
        <v>133</v>
      </c>
      <c r="I41" s="32">
        <v>3</v>
      </c>
      <c r="J41" s="32">
        <v>50</v>
      </c>
      <c r="K41" s="22">
        <v>1E-3</v>
      </c>
      <c r="L41" s="20">
        <f>Table1[[#This Row],[Talep]]*Table1[[#This Row],[*Unit Price(1sets)]]</f>
        <v>0.05</v>
      </c>
      <c r="M41" s="11"/>
    </row>
    <row r="42" spans="1:14" ht="25.2" x14ac:dyDescent="0.3">
      <c r="A42" s="10">
        <v>41</v>
      </c>
      <c r="B42" s="11" t="s">
        <v>234</v>
      </c>
      <c r="C42" s="11" t="s">
        <v>260</v>
      </c>
      <c r="D42" s="38" t="s">
        <v>163</v>
      </c>
      <c r="E42" s="12" t="s">
        <v>165</v>
      </c>
      <c r="F42" s="34" t="s">
        <v>164</v>
      </c>
      <c r="G42" s="36" t="s">
        <v>132</v>
      </c>
      <c r="H42" s="36" t="s">
        <v>133</v>
      </c>
      <c r="I42" s="32">
        <v>1</v>
      </c>
      <c r="J42" s="32">
        <v>50</v>
      </c>
      <c r="K42" s="22">
        <v>5.0000000000000001E-3</v>
      </c>
      <c r="L42" s="20">
        <f>Table1[[#This Row],[Talep]]*Table1[[#This Row],[*Unit Price(1sets)]]</f>
        <v>0.25</v>
      </c>
      <c r="M42" s="11"/>
    </row>
    <row r="43" spans="1:14" ht="25.2" x14ac:dyDescent="0.3">
      <c r="A43" s="10">
        <v>42</v>
      </c>
      <c r="B43" s="11" t="s">
        <v>234</v>
      </c>
      <c r="C43" s="11" t="s">
        <v>260</v>
      </c>
      <c r="D43" s="39" t="s">
        <v>261</v>
      </c>
      <c r="E43" s="12" t="s">
        <v>168</v>
      </c>
      <c r="F43" s="34" t="s">
        <v>167</v>
      </c>
      <c r="G43" s="36" t="s">
        <v>132</v>
      </c>
      <c r="H43" s="36" t="s">
        <v>133</v>
      </c>
      <c r="I43" s="32">
        <v>3</v>
      </c>
      <c r="J43" s="32">
        <v>50</v>
      </c>
      <c r="K43" s="22">
        <v>5.0000000000000001E-3</v>
      </c>
      <c r="L43" s="20">
        <f>Table1[[#This Row],[Talep]]*Table1[[#This Row],[*Unit Price(1sets)]]</f>
        <v>0.25</v>
      </c>
      <c r="M43" s="11"/>
      <c r="N43" s="17" t="s">
        <v>166</v>
      </c>
    </row>
    <row r="44" spans="1:14" ht="25.2" x14ac:dyDescent="0.3">
      <c r="A44" s="10">
        <v>43</v>
      </c>
      <c r="B44" s="11" t="s">
        <v>234</v>
      </c>
      <c r="C44" s="11" t="s">
        <v>260</v>
      </c>
      <c r="D44" s="38" t="s">
        <v>169</v>
      </c>
      <c r="E44" s="12" t="s">
        <v>171</v>
      </c>
      <c r="F44" s="34" t="s">
        <v>170</v>
      </c>
      <c r="G44" s="36" t="s">
        <v>132</v>
      </c>
      <c r="H44" s="36" t="s">
        <v>133</v>
      </c>
      <c r="I44" s="32">
        <v>1</v>
      </c>
      <c r="J44" s="32">
        <v>50</v>
      </c>
      <c r="K44" s="22">
        <v>2E-3</v>
      </c>
      <c r="L44" s="20">
        <f>Table1[[#This Row],[Talep]]*Table1[[#This Row],[*Unit Price(1sets)]]</f>
        <v>0.1</v>
      </c>
      <c r="M44" s="11"/>
    </row>
    <row r="45" spans="1:14" ht="25.2" x14ac:dyDescent="0.3">
      <c r="A45" s="10">
        <v>45</v>
      </c>
      <c r="B45" s="11" t="s">
        <v>234</v>
      </c>
      <c r="C45" s="11" t="s">
        <v>260</v>
      </c>
      <c r="D45" s="38" t="s">
        <v>172</v>
      </c>
      <c r="E45" s="12" t="s">
        <v>174</v>
      </c>
      <c r="F45" s="34" t="s">
        <v>173</v>
      </c>
      <c r="G45" s="36" t="s">
        <v>132</v>
      </c>
      <c r="H45" s="36" t="s">
        <v>133</v>
      </c>
      <c r="I45" s="32">
        <v>2</v>
      </c>
      <c r="J45" s="32"/>
      <c r="K45" s="22">
        <v>5.0000000000000001E-3</v>
      </c>
      <c r="L45" s="20">
        <f>Table1[[#This Row],[Talep]]*Table1[[#This Row],[*Unit Price(1sets)]]</f>
        <v>0</v>
      </c>
      <c r="M45" s="11"/>
    </row>
    <row r="46" spans="1:14" ht="25.2" x14ac:dyDescent="0.3">
      <c r="A46" s="10">
        <v>46</v>
      </c>
      <c r="B46" s="11" t="s">
        <v>234</v>
      </c>
      <c r="C46" s="11" t="s">
        <v>260</v>
      </c>
      <c r="D46" s="38" t="s">
        <v>175</v>
      </c>
      <c r="E46" s="12" t="s">
        <v>177</v>
      </c>
      <c r="F46" s="34" t="s">
        <v>176</v>
      </c>
      <c r="G46" s="36" t="s">
        <v>132</v>
      </c>
      <c r="H46" s="36" t="s">
        <v>133</v>
      </c>
      <c r="I46" s="32">
        <v>2</v>
      </c>
      <c r="J46" s="32"/>
      <c r="K46" s="22">
        <v>5.0000000000000001E-3</v>
      </c>
      <c r="L46" s="20">
        <f>Table1[[#This Row],[Talep]]*Table1[[#This Row],[*Unit Price(1sets)]]</f>
        <v>0</v>
      </c>
      <c r="M46" s="11"/>
    </row>
    <row r="47" spans="1:14" ht="25.2" x14ac:dyDescent="0.3">
      <c r="A47" s="10">
        <v>47</v>
      </c>
      <c r="B47" s="11" t="s">
        <v>234</v>
      </c>
      <c r="C47" s="11" t="s">
        <v>260</v>
      </c>
      <c r="D47" s="38" t="s">
        <v>178</v>
      </c>
      <c r="E47" s="12" t="s">
        <v>180</v>
      </c>
      <c r="F47" s="34" t="s">
        <v>179</v>
      </c>
      <c r="G47" s="36" t="s">
        <v>132</v>
      </c>
      <c r="H47" s="36" t="s">
        <v>133</v>
      </c>
      <c r="I47" s="32">
        <v>1</v>
      </c>
      <c r="J47" s="32"/>
      <c r="K47" s="22">
        <v>5.0000000000000001E-3</v>
      </c>
      <c r="L47" s="20">
        <f>Table1[[#This Row],[Talep]]*Table1[[#This Row],[*Unit Price(1sets)]]</f>
        <v>0</v>
      </c>
      <c r="M47" s="11"/>
    </row>
    <row r="48" spans="1:14" ht="25.2" x14ac:dyDescent="0.3">
      <c r="A48" s="10">
        <v>48</v>
      </c>
      <c r="B48" s="11" t="s">
        <v>234</v>
      </c>
      <c r="C48" s="11" t="s">
        <v>260</v>
      </c>
      <c r="D48" s="38" t="s">
        <v>181</v>
      </c>
      <c r="E48" s="12" t="s">
        <v>183</v>
      </c>
      <c r="F48" s="34" t="s">
        <v>182</v>
      </c>
      <c r="G48" s="36" t="s">
        <v>132</v>
      </c>
      <c r="H48" s="36" t="s">
        <v>133</v>
      </c>
      <c r="I48" s="32">
        <v>2</v>
      </c>
      <c r="J48" s="32"/>
      <c r="K48" s="22">
        <v>3.0000000000000001E-3</v>
      </c>
      <c r="L48" s="20">
        <f>Table1[[#This Row],[Talep]]*Table1[[#This Row],[*Unit Price(1sets)]]</f>
        <v>0</v>
      </c>
      <c r="M48" s="11"/>
    </row>
    <row r="49" spans="1:14" ht="25.2" x14ac:dyDescent="0.3">
      <c r="A49" s="10">
        <v>49</v>
      </c>
      <c r="B49" s="11" t="s">
        <v>234</v>
      </c>
      <c r="C49" s="11" t="s">
        <v>260</v>
      </c>
      <c r="D49" s="38" t="s">
        <v>184</v>
      </c>
      <c r="E49" s="12" t="s">
        <v>186</v>
      </c>
      <c r="F49" s="34" t="s">
        <v>185</v>
      </c>
      <c r="G49" s="36" t="s">
        <v>132</v>
      </c>
      <c r="H49" s="36" t="s">
        <v>133</v>
      </c>
      <c r="I49" s="32">
        <v>3</v>
      </c>
      <c r="J49" s="32"/>
      <c r="K49" s="22">
        <v>5.0000000000000001E-3</v>
      </c>
      <c r="L49" s="20">
        <v>0</v>
      </c>
      <c r="M49" s="11"/>
    </row>
    <row r="50" spans="1:14" ht="25.2" x14ac:dyDescent="0.3">
      <c r="A50" s="10">
        <v>50</v>
      </c>
      <c r="B50" s="11" t="s">
        <v>235</v>
      </c>
      <c r="C50" s="11" t="s">
        <v>274</v>
      </c>
      <c r="D50" s="38" t="s">
        <v>275</v>
      </c>
      <c r="E50" s="12" t="s">
        <v>188</v>
      </c>
      <c r="F50" s="34" t="s">
        <v>276</v>
      </c>
      <c r="G50" s="36" t="s">
        <v>132</v>
      </c>
      <c r="H50" s="36" t="s">
        <v>133</v>
      </c>
      <c r="I50" s="32">
        <v>1</v>
      </c>
      <c r="J50" s="32">
        <v>25</v>
      </c>
      <c r="K50" s="22">
        <v>6.2E-2</v>
      </c>
      <c r="L50" s="20">
        <f>Table1[[#This Row],[Talep]]*Table1[[#This Row],[*Unit Price(1sets)]]</f>
        <v>1.55</v>
      </c>
      <c r="M50" s="11"/>
      <c r="N50" s="12" t="s">
        <v>187</v>
      </c>
    </row>
    <row r="51" spans="1:14" ht="25.2" x14ac:dyDescent="0.3">
      <c r="A51" s="10">
        <v>51</v>
      </c>
      <c r="B51" s="11" t="s">
        <v>234</v>
      </c>
      <c r="C51" s="11" t="s">
        <v>262</v>
      </c>
      <c r="D51" s="38" t="s">
        <v>189</v>
      </c>
      <c r="E51" s="12" t="s">
        <v>191</v>
      </c>
      <c r="F51" s="34" t="s">
        <v>190</v>
      </c>
      <c r="G51" s="36" t="s">
        <v>192</v>
      </c>
      <c r="H51" s="36" t="s">
        <v>193</v>
      </c>
      <c r="I51" s="32">
        <v>1</v>
      </c>
      <c r="J51" s="32"/>
      <c r="K51" s="22">
        <v>0.33</v>
      </c>
      <c r="L51" s="20">
        <f>Table1[[#This Row],[Talep]]*Table1[[#This Row],[*Unit Price(1sets)]]</f>
        <v>0</v>
      </c>
      <c r="M51" s="11"/>
    </row>
    <row r="52" spans="1:14" ht="25.2" x14ac:dyDescent="0.3">
      <c r="A52" s="10">
        <v>52</v>
      </c>
      <c r="B52" s="11" t="s">
        <v>235</v>
      </c>
      <c r="C52" s="11" t="s">
        <v>263</v>
      </c>
      <c r="D52" s="38" t="s">
        <v>194</v>
      </c>
      <c r="E52" s="12" t="s">
        <v>196</v>
      </c>
      <c r="F52" s="34" t="s">
        <v>195</v>
      </c>
      <c r="G52" s="36" t="s">
        <v>197</v>
      </c>
      <c r="H52" s="36" t="s">
        <v>198</v>
      </c>
      <c r="I52" s="32">
        <v>1</v>
      </c>
      <c r="J52" s="32"/>
      <c r="K52" s="22">
        <v>1.8</v>
      </c>
      <c r="L52" s="20">
        <f>Table1[[#This Row],[Talep]]*Table1[[#This Row],[*Unit Price(1sets)]]</f>
        <v>0</v>
      </c>
      <c r="M52" s="11"/>
    </row>
    <row r="53" spans="1:14" ht="25.2" x14ac:dyDescent="0.3">
      <c r="A53" s="10">
        <v>53</v>
      </c>
      <c r="B53" s="11" t="s">
        <v>235</v>
      </c>
      <c r="C53" s="11" t="s">
        <v>263</v>
      </c>
      <c r="D53" s="38" t="s">
        <v>199</v>
      </c>
      <c r="E53" s="12" t="s">
        <v>201</v>
      </c>
      <c r="F53" s="34" t="s">
        <v>200</v>
      </c>
      <c r="G53" s="36" t="s">
        <v>202</v>
      </c>
      <c r="H53" s="36" t="s">
        <v>199</v>
      </c>
      <c r="I53" s="32">
        <v>1</v>
      </c>
      <c r="J53" s="32"/>
      <c r="K53" s="22">
        <v>1.17</v>
      </c>
      <c r="L53" s="20">
        <f>Table1[[#This Row],[Talep]]*Table1[[#This Row],[*Unit Price(1sets)]]</f>
        <v>0</v>
      </c>
      <c r="M53" s="11"/>
    </row>
    <row r="54" spans="1:14" ht="25.2" x14ac:dyDescent="0.3">
      <c r="A54" s="10">
        <v>54</v>
      </c>
      <c r="B54" s="11" t="s">
        <v>234</v>
      </c>
      <c r="C54" s="11" t="s">
        <v>264</v>
      </c>
      <c r="D54" s="38" t="s">
        <v>203</v>
      </c>
      <c r="E54" s="12" t="s">
        <v>205</v>
      </c>
      <c r="F54" s="34" t="s">
        <v>204</v>
      </c>
      <c r="G54" s="36" t="s">
        <v>206</v>
      </c>
      <c r="H54" s="36" t="s">
        <v>207</v>
      </c>
      <c r="I54" s="32">
        <v>1</v>
      </c>
      <c r="J54" s="32"/>
      <c r="K54" s="22">
        <v>0.67500000000000004</v>
      </c>
      <c r="L54" s="20">
        <f>Table1[[#This Row],[Talep]]*Table1[[#This Row],[*Unit Price(1sets)]]</f>
        <v>0</v>
      </c>
      <c r="M54" s="11"/>
    </row>
    <row r="55" spans="1:14" ht="25.2" x14ac:dyDescent="0.3">
      <c r="A55" s="10">
        <v>55</v>
      </c>
      <c r="B55" s="11"/>
      <c r="C55" s="11"/>
      <c r="D55" s="38" t="s">
        <v>208</v>
      </c>
      <c r="E55" s="12" t="s">
        <v>209</v>
      </c>
      <c r="F55" s="34" t="s">
        <v>108</v>
      </c>
      <c r="G55" s="36" t="s">
        <v>208</v>
      </c>
      <c r="H55" s="36" t="s">
        <v>210</v>
      </c>
      <c r="I55" s="32">
        <v>1</v>
      </c>
      <c r="J55" s="32"/>
      <c r="K55" s="22"/>
      <c r="L55" s="20">
        <f>Table1[[#This Row],[Talep]]*Table1[[#This Row],[*Unit Price(1sets)]]</f>
        <v>0</v>
      </c>
      <c r="M55" s="11"/>
      <c r="N55" s="47" t="s">
        <v>285</v>
      </c>
    </row>
    <row r="56" spans="1:14" ht="25.2" x14ac:dyDescent="0.3">
      <c r="A56" s="10">
        <v>56</v>
      </c>
      <c r="B56" s="11" t="s">
        <v>234</v>
      </c>
      <c r="C56" s="11" t="s">
        <v>240</v>
      </c>
      <c r="D56" s="38" t="s">
        <v>211</v>
      </c>
      <c r="E56" s="12" t="s">
        <v>213</v>
      </c>
      <c r="F56" s="34" t="s">
        <v>212</v>
      </c>
      <c r="G56" s="36" t="s">
        <v>214</v>
      </c>
      <c r="H56" s="36" t="s">
        <v>215</v>
      </c>
      <c r="I56" s="32">
        <v>2</v>
      </c>
      <c r="J56" s="32"/>
      <c r="K56" s="22">
        <v>1.4999999999999999E-2</v>
      </c>
      <c r="L56" s="20">
        <f>Table1[[#This Row],[Talep]]*Table1[[#This Row],[*Unit Price(1sets)]]</f>
        <v>0</v>
      </c>
      <c r="M56" s="11"/>
      <c r="N56" s="46"/>
    </row>
    <row r="57" spans="1:14" ht="25.2" x14ac:dyDescent="0.3">
      <c r="A57" s="10">
        <v>57</v>
      </c>
      <c r="B57" s="11" t="s">
        <v>234</v>
      </c>
      <c r="C57" s="11" t="s">
        <v>252</v>
      </c>
      <c r="D57" s="38" t="s">
        <v>265</v>
      </c>
      <c r="E57" s="12" t="s">
        <v>218</v>
      </c>
      <c r="F57" s="34" t="s">
        <v>217</v>
      </c>
      <c r="G57" s="36" t="s">
        <v>214</v>
      </c>
      <c r="H57" s="36" t="s">
        <v>215</v>
      </c>
      <c r="I57" s="32">
        <v>1</v>
      </c>
      <c r="J57" s="32"/>
      <c r="K57" s="22">
        <v>0.03</v>
      </c>
      <c r="L57" s="20">
        <f>Table1[[#This Row],[Talep]]*Table1[[#This Row],[*Unit Price(1sets)]]</f>
        <v>0</v>
      </c>
      <c r="M57" s="11"/>
      <c r="N57" s="16" t="s">
        <v>216</v>
      </c>
    </row>
    <row r="58" spans="1:14" ht="25.2" x14ac:dyDescent="0.3">
      <c r="A58" s="13">
        <v>58</v>
      </c>
      <c r="B58" s="14" t="s">
        <v>235</v>
      </c>
      <c r="C58" s="14" t="s">
        <v>252</v>
      </c>
      <c r="D58" s="40" t="s">
        <v>219</v>
      </c>
      <c r="E58" s="15" t="s">
        <v>221</v>
      </c>
      <c r="F58" s="35" t="s">
        <v>220</v>
      </c>
      <c r="G58" s="37" t="s">
        <v>222</v>
      </c>
      <c r="H58" s="37" t="s">
        <v>219</v>
      </c>
      <c r="I58" s="33">
        <v>1</v>
      </c>
      <c r="J58" s="33"/>
      <c r="K58" s="23">
        <v>0.18</v>
      </c>
      <c r="L58" s="21">
        <f>Table1[[#This Row],[Talep]]*Table1[[#This Row],[*Unit Price(1sets)]]</f>
        <v>0</v>
      </c>
      <c r="M58" s="14"/>
    </row>
    <row r="68" spans="10:11" ht="21" x14ac:dyDescent="0.4">
      <c r="J68" s="25" t="s">
        <v>277</v>
      </c>
      <c r="K68" s="26">
        <f>SUMIFS(L3:L58,B3:B58, "Digikey")</f>
        <v>28.62</v>
      </c>
    </row>
    <row r="69" spans="10:11" ht="21" x14ac:dyDescent="0.4">
      <c r="J69" s="27" t="s">
        <v>278</v>
      </c>
      <c r="K69" s="28">
        <f>SUMIFS(L3:L58,B3:B58, "Özdisan")</f>
        <v>26.706000000000007</v>
      </c>
    </row>
    <row r="70" spans="10:11" ht="21" x14ac:dyDescent="0.4">
      <c r="J70" s="24" t="s">
        <v>279</v>
      </c>
      <c r="K70" s="29">
        <f>0.2*K69</f>
        <v>5.3412000000000015</v>
      </c>
    </row>
    <row r="71" spans="10:11" ht="21" x14ac:dyDescent="0.3">
      <c r="J71" s="30" t="s">
        <v>280</v>
      </c>
      <c r="K71" s="31">
        <f>SUM(K68:K70)</f>
        <v>60.667200000000008</v>
      </c>
    </row>
    <row r="84" spans="4:7" ht="25.8" x14ac:dyDescent="0.5">
      <c r="D84" s="41" t="s">
        <v>284</v>
      </c>
      <c r="E84" s="42" t="s">
        <v>282</v>
      </c>
      <c r="F84" s="42"/>
      <c r="G84" s="42"/>
    </row>
    <row r="85" spans="4:7" ht="25.8" x14ac:dyDescent="0.3">
      <c r="D85" s="41"/>
      <c r="E85" s="43" t="s">
        <v>283</v>
      </c>
      <c r="F85" s="43"/>
      <c r="G85" s="43"/>
    </row>
  </sheetData>
  <mergeCells count="4">
    <mergeCell ref="A1:N1"/>
    <mergeCell ref="D84:D85"/>
    <mergeCell ref="E84:G84"/>
    <mergeCell ref="E85:G85"/>
  </mergeCells>
  <conditionalFormatting sqref="D5">
    <cfRule type="expression" priority="13">
      <formula>"Digikey"</formula>
    </cfRule>
  </conditionalFormatting>
  <conditionalFormatting sqref="B3:C14 D14 B16:C17 D17 B36 D31 B37:C37 B38 N31 B39:C58 B19:C35">
    <cfRule type="containsText" dxfId="30" priority="11" operator="containsText" text="Özdisan">
      <formula>NOT(ISERROR(SEARCH("Özdisan",B3)))</formula>
    </cfRule>
    <cfRule type="containsText" dxfId="29" priority="12" operator="containsText" text="Digikey">
      <formula>NOT(ISERROR(SEARCH("Digikey",B3)))</formula>
    </cfRule>
  </conditionalFormatting>
  <conditionalFormatting sqref="B15:C15">
    <cfRule type="containsText" dxfId="28" priority="9" operator="containsText" text="Özdisan">
      <formula>NOT(ISERROR(SEARCH("Özdisan",B15)))</formula>
    </cfRule>
    <cfRule type="containsText" dxfId="27" priority="10" operator="containsText" text="Digikey">
      <formula>NOT(ISERROR(SEARCH("Digikey",B15)))</formula>
    </cfRule>
  </conditionalFormatting>
  <conditionalFormatting sqref="B18">
    <cfRule type="containsText" dxfId="26" priority="7" operator="containsText" text="Özdisan">
      <formula>NOT(ISERROR(SEARCH("Özdisan",B18)))</formula>
    </cfRule>
    <cfRule type="containsText" dxfId="25" priority="8" operator="containsText" text="Digikey">
      <formula>NOT(ISERROR(SEARCH("Digikey",B18)))</formula>
    </cfRule>
  </conditionalFormatting>
  <conditionalFormatting sqref="N43">
    <cfRule type="containsText" dxfId="24" priority="5" operator="containsText" text="Özdisan">
      <formula>NOT(ISERROR(SEARCH("Özdisan",N43)))</formula>
    </cfRule>
    <cfRule type="containsText" dxfId="23" priority="6" operator="containsText" text="Digikey">
      <formula>NOT(ISERROR(SEARCH("Digikey",N43)))</formula>
    </cfRule>
  </conditionalFormatting>
  <conditionalFormatting sqref="L3:L58">
    <cfRule type="cellIs" dxfId="22" priority="4" operator="lessThan">
      <formula>0</formula>
    </cfRule>
    <cfRule type="cellIs" dxfId="21" priority="3" operator="lessThan">
      <formula>0</formula>
    </cfRule>
    <cfRule type="cellIs" dxfId="20" priority="2" operator="lessThan">
      <formula>0.01</formula>
    </cfRule>
  </conditionalFormatting>
  <conditionalFormatting sqref="J3:J58">
    <cfRule type="cellIs" dxfId="19" priority="1" operator="lessThan">
      <formula>1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1k5 PFC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 HARIR ABDULLE</dc:creator>
  <cp:lastModifiedBy>KAH HARIR ABDULLE</cp:lastModifiedBy>
  <dcterms:created xsi:type="dcterms:W3CDTF">2026-04-05T19:18:18Z</dcterms:created>
  <dcterms:modified xsi:type="dcterms:W3CDTF">2026-04-06T19:36:43Z</dcterms:modified>
</cp:coreProperties>
</file>